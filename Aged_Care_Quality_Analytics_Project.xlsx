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fc5db573f2466a" /></Relationships>
</file>

<file path=xl/workbook.xml><?xml version="1.0" encoding="utf-8"?>
<x:workbook xmlns:x="http://schemas.openxmlformats.org/spreadsheetml/2006/main">
  <x:sheets>
    <x:sheet xmlns:r="http://schemas.openxmlformats.org/officeDocument/2006/relationships" name="README" sheetId="1" r:id="Rdc16cb9be6824a79"/>
    <x:sheet xmlns:r="http://schemas.openxmlformats.org/officeDocument/2006/relationships" name="Terminology_Methodology" sheetId="2" r:id="Rce82b8e7e65743e6"/>
    <x:sheet xmlns:r="http://schemas.openxmlformats.org/officeDocument/2006/relationships" name="Source_Register" sheetId="3" r:id="Rd434e7d4461d450d"/>
    <x:sheet xmlns:r="http://schemas.openxmlformats.org/officeDocument/2006/relationships" name="Data_Dictionary" sheetId="4" r:id="R0568bddd97994331"/>
    <x:sheet xmlns:r="http://schemas.openxmlformats.org/officeDocument/2006/relationships" name="DQ_Checks" sheetId="5" r:id="Rcbf5f0c6a36e4611"/>
    <x:sheet xmlns:r="http://schemas.openxmlformats.org/officeDocument/2006/relationships" name="Analysis_Summary" sheetId="6" r:id="Re64ed9677a844799"/>
    <x:sheet xmlns:r="http://schemas.openxmlformats.org/officeDocument/2006/relationships" name="Worker_Regulation_Staging" sheetId="7" r:id="R350b2a014eaa420f"/>
    <x:sheet xmlns:r="http://schemas.openxmlformats.org/officeDocument/2006/relationships" name="Worker_Regulation_Clean" sheetId="8" r:id="R7ceccc18157547a0"/>
    <x:sheet xmlns:r="http://schemas.openxmlformats.org/officeDocument/2006/relationships" name="SIRS_Incident_Staging" sheetId="9" r:id="R56a3b16b949b47f2"/>
    <x:sheet xmlns:r="http://schemas.openxmlformats.org/officeDocument/2006/relationships" name="SIRS_Incidents_Clean" sheetId="10" r:id="Re787339d614b4190"/>
    <x:sheet xmlns:r="http://schemas.openxmlformats.org/officeDocument/2006/relationships" name="Complaints_Staging" sheetId="11" r:id="Rcc65052a42d147cc"/>
    <x:sheet xmlns:r="http://schemas.openxmlformats.org/officeDocument/2006/relationships" name="Complaints_Clean" sheetId="12" r:id="R8e92622207644793"/>
    <x:sheet xmlns:r="http://schemas.openxmlformats.org/officeDocument/2006/relationships" name="Act_2024_Notes" sheetId="13" r:id="Rf1ee3d1387d345b0"/>
  </x:sheets>
</x:workbook>
</file>

<file path=xl/sharedStrings.xml><?xml version="1.0" encoding="utf-8"?>
<x:sst xmlns:x="http://schemas.openxmlformats.org/spreadsheetml/2006/main">
  <x:si>
    <x:t xml:space="preserve">Aged Care Sector Performance &amp; Risk Analytics — Project README</x:t>
  </x:si>
  <x:si>
    <x:t xml:space="preserve">Project purpose</x:t>
  </x:si>
  <x:si>
    <x:t xml:space="preserve">Transform Aged Care Quality and Safety Commission sector-performance data (complaints, SIRS incidents, worker regulation activity) into clean, validated datasets and dashboards that surface emerging risk signals to support regulatory decision-making. Built as a portfolio project for the APS5 Data Analyst role, Data, Analytics and Intelligence Branch.</x:t>
  </x:si>
  <x:si>
    <x:t xml:space="preserve">Author</x:t>
  </x:si>
  <x:si>
    <x:t xml:space="preserve">Version</x:t>
  </x:si>
  <x:si>
    <x:t xml:space="preserve">v1.0</x:t>
  </x:si>
  <x:si>
    <x:t xml:space="preserve">Last updated</x:t>
  </x:si>
  <x:si>
    <x:t xml:space="preserve">Status</x:t>
  </x:si>
  <x:si>
    <x:t xml:space="preserve">Scope</x:t>
  </x:si>
  <x:si>
    <x:t xml:space="preserve">Covers three ACQSC regulatory datasets — complaints, SIRS incidents and worker regulation activity — across FY2024-25 (Q1-Q4, legacy methodology) and the November-December 2025 partial period (post-Aged Care Act 2024 transition methodology). Excludes Star Ratings, provider financial data and workforce census data, which are out of scope for this project.</x:t>
  </x:si>
  <x:si>
    <x:t xml:space="preserve">Data sources</x:t>
  </x:si>
  <x:si>
    <x:t xml:space="preserve">ACQSC Sector Performance Reports (agedcarequality.gov.au/news-publications/reports/sector-performance), extracted quarterly. Full lineage for every extract is recorded in the Source_Register sheet.</x:t>
  </x:si>
  <x:si>
    <x:t xml:space="preserve">How to navigate this workbook</x:t>
  </x:si>
  <x:si>
    <x:t xml:space="preserve">Sheet</x:t>
  </x:si>
  <x:si>
    <x:t xml:space="preserve">Purpose</x:t>
  </x:si>
  <x:si>
    <x:t xml:space="preserve">README</x:t>
  </x:si>
  <x:si>
    <x:t xml:space="preserve">Project overview, scope, sheet index and the recommendation-framing table used to turn findings into advice.</x:t>
  </x:si>
  <x:si>
    <x:t xml:space="preserve">Terminology_Methodology</x:t>
  </x:si>
  <x:si>
    <x:t xml:space="preserve">Maps legacy vs post-Act 2024 terms, flags which are directly comparable, and records the reasoning.</x:t>
  </x:si>
  <x:si>
    <x:t xml:space="preserve">Source_Register</x:t>
  </x:si>
  <x:si>
    <x:t xml:space="preserve">Row-level lineage for every source extract — report, URL, extraction date, status and limitations.</x:t>
  </x:si>
  <x:si>
    <x:t xml:space="preserve">Complaints_Staging / Complaints_Clean</x:t>
  </x:si>
  <x:si>
    <x:t xml:space="preserve">Raw extract and cleaned fact table for complaints, by concern subtype, rate and provider breakdown.</x:t>
  </x:si>
  <x:si>
    <x:t xml:space="preserve">Business questions this project answers</x:t>
  </x:si>
  <x:si>
    <x:t xml:space="preserve">• Worker regulation: How has the internal-vs-external case mix shifted across periods, and is the rising NDIS-referral share a real signal or a partial-period artefact?</x:t>
  </x:si>
  <x:si>
    <x:t xml:space="preserve">• SIRS incidents: Which incident types have the highest Priority 1 (most urgent) share, and does this differ between residential and home care?</x:t>
  </x:si>
  <x:si>
    <x:t xml:space="preserve">• Complaints: Which complaint concern subtypes are most common, and how does the complaint rate vary by provider ownership type and size?</x:t>
  </x:si>
  <x:si>
    <x:t xml:space="preserve">• Cross-cutting: Where do SIRS priority, complaint rate and worker-regulation signals converge, and what does that suggest about regulatory priorities?</x:t>
  </x:si>
  <x:si>
    <x:t xml:space="preserve">• Methodology: Given the Nov-Dec 2025 transition, which metrics can still be trended and which need a new baseline?</x:t>
  </x:si>
  <x:si>
    <x:t xml:space="preserve">Known limitations (summary)</x:t>
  </x:si>
  <x:si>
    <x:t xml:space="preserve">The Aged Care Act 2024 introduced new registration categories, complaint taxonomy and reporting systems from 1 November 2025. The Nov-Dec 2025 period covers two months, not a full quarter, and worker-regulation source totals for that period do not yet reconcile with published totals (see DQ_Checks). Full detail is in Terminology_Methodology.</x:t>
  </x:si>
  <x:si>
    <x:t xml:space="preserve">Recommendation framework</x:t>
  </x:si>
  <x:si>
    <x:t xml:space="preserve">How to Frame recommendation</x:t>
  </x:si>
  <x:si>
    <x:t xml:space="preserve">Evidence found</x:t>
  </x:si>
  <x:si>
    <x:t xml:space="preserve">Appropriate recommendation</x:t>
  </x:si>
  <x:si>
    <x:t xml:space="preserve">A subtype is consistently high</x:t>
  </x:si>
  <x:si>
    <x:t xml:space="preserve">Conduct a detailed review of the underlying complaint cases</x:t>
  </x:si>
  <x:si>
    <x:t xml:space="preserve">Workforce concerns appear across service groups</x:t>
  </x:si>
  <x:si>
    <x:t xml:space="preserve">Segment workforce concerns by staffing, conduct, training and continuity</x:t>
  </x:si>
  <x:si>
    <x:t xml:space="preserve">Complaint totals rise but rates remain stable</x:t>
  </x:si>
  <x:si>
    <x:t xml:space="preserve">Investigate whether service volume explains the increase</x:t>
  </x:si>
  <x:si>
    <x:t xml:space="preserve">Counts rise and comparable rates also rise</x:t>
  </x:si>
  <x:si>
    <x:t xml:space="preserve">Undertake deeper analysis of providers, locations and complaint outcomes</x:t>
  </x:si>
  <x:si>
    <x:t xml:space="preserve">Classification changes prevent comparison</x:t>
  </x:si>
  <x:si>
    <x:t xml:space="preserve">Establish a new baseline and create a mapping table between taxonomies</x:t>
  </x:si>
  <x:si>
    <x:t xml:space="preserve">A two-month period is compared with quarters</x:t>
  </x:si>
  <x:si>
    <x:t xml:space="preserve">Wait for a complete comparable period or report monthly averages with limitations</x:t>
  </x:si>
  <x:si>
    <x:t xml:space="preserve">Complaint concerns exceed complaint numbers</x:t>
  </x:si>
  <x:si>
    <x:t xml:space="preserve">Explain that one complaint can contain several concerns</x:t>
  </x:si>
  <x:si>
    <x:t xml:space="preserve">Important service breakdowns are unavailable</x:t>
  </x:si>
  <x:si>
    <x:t xml:space="preserve">Recommend more granular reporting rather than assuming how complaints were distributed</x:t>
  </x:si>
  <x:si>
    <x:r>
      <x:rPr>
        <x:b/>
        <x:sz val="1200"/>
        <x:color rgb="FF000000"/>
        <x:rFont val="Calibri"/>
      </x:rPr>
      <x:t xml:space="preserve">Conclusion</x:t>
    </x:r>
    <x:r>
      <x:rPr>
        <x:sz val="1100"/>
        <x:color rgb="FF000000"/>
        <x:rFont val="Calibri"/>
      </x:rPr>
      <x:t xml:space="preserve">. The introduction of the Aged Care Act 2024 represents both a regulatory change and a data-methodology change. While several complaint themes remain recognisable, differences in reporting periods, registration categories, complaint taxonomies and systems restrict direct comparison between the legacy and post-change datasets. The post-change data should therefore be used to establish a new baseline, while legacy trends should be reported separately. Similar themes across the two eras may be described as continuing areas of interest, but not treated as numerically equivalent without further definitional evidence.</x:t>
    </x:r>
  </x:si>
  <x:si>
    <x:t xml:space="preserve">Terminology and Methodology Map</x:t>
  </x:si>
  <x:si>
    <x:t xml:space="preserve">Maps source wording and project methodology labels while preserving published meaning and comparability limits.</x:t>
  </x:si>
  <x:si>
    <x:t xml:space="preserve">Source_Term</x:t>
  </x:si>
  <x:si>
    <x:t xml:space="preserve">Era</x:t>
  </x:si>
  <x:si>
    <x:t xml:space="preserve">Standard_Term</x:t>
  </x:si>
  <x:si>
    <x:t xml:space="preserve">Mapping_Status</x:t>
  </x:si>
  <x:si>
    <x:t xml:space="preserve">Comparability</x:t>
  </x:si>
  <x:si>
    <x:t xml:space="preserve">Decision</x:t>
  </x:si>
  <x:si>
    <x:t xml:space="preserve">Reason</x:t>
  </x:si>
  <x:si>
    <x:t xml:space="preserve">Safe_Analyst_Wording</x:t>
  </x:si>
  <x:si>
    <x:t xml:space="preserve">Residential care</x:t>
  </x:si>
  <x:si>
    <x:t xml:space="preserve">Legacy</x:t>
  </x:si>
  <x:si>
    <x:t xml:space="preserve">Residential aged care</x:t>
  </x:si>
  <x:si>
    <x:t xml:space="preserve">Direct</x:t>
  </x:si>
  <x:si>
    <x:t xml:space="preserve">Qualified</x:t>
  </x:si>
  <x:si>
    <x:t xml:space="preserve">Retain both source and standard terms</x:t>
  </x:si>
  <x:si>
    <x:t xml:space="preserve">Broad service environment is recognisable, but methods still require review.</x:t>
  </x:si>
  <x:si>
    <x:t xml:space="preserve">Reported residential-care results...</x:t>
  </x:si>
  <x:si>
    <x:t xml:space="preserve">HCP</x:t>
  </x:si>
  <x:si>
    <x:t xml:space="preserve">Home Care Packages</x:t>
  </x:si>
  <x:si>
    <x:t xml:space="preserve">Direct within legacy</x:t>
  </x:si>
  <x:si>
    <x:t xml:space="preserve">Within-era only</x:t>
  </x:si>
  <x:si>
    <x:t xml:space="preserve">Do not map automatically to Categories 1–5</x:t>
  </x:si>
  <x:si>
    <x:t xml:space="preserve">HCP is a specific legacy program.</x:t>
  </x:si>
  <x:si>
    <x:t xml:space="preserve">Within the legacy HCP program...</x:t>
  </x:si>
  <x:si>
    <x:t xml:space="preserve">CHSP</x:t>
  </x:si>
  <x:si>
    <x:t xml:space="preserve">Commonwealth Home Support Programme</x:t>
  </x:si>
  <x:si>
    <x:t xml:space="preserve">Keep separate unless the source combines it</x:t>
  </x:si>
  <x:si>
    <x:t xml:space="preserve">CHSP is a specific legacy program.</x:t>
  </x:si>
  <x:si>
    <x:t xml:space="preserve">Within the legacy CHSP program...</x:t>
  </x:si>
  <x:si>
    <x:t xml:space="preserve">Category 6</x:t>
  </x:si>
  <x:si>
    <x:t xml:space="preserve">Post–1 Nov 2025</x:t>
  </x:si>
  <x:si>
    <x:t xml:space="preserve">Retain source term</x:t>
  </x:si>
  <x:si>
    <x:t xml:space="preserve">New baseline</x:t>
  </x:si>
  <x:si>
    <x:t xml:space="preserve">Do not back-map automatically</x:t>
  </x:si>
  <x:si>
    <x:t xml:space="preserve">Post-change registration category.</x:t>
  </x:si>
  <x:si>
    <x:t xml:space="preserve">For Category 6 under the post-change framework...</x:t>
  </x:si>
  <x:si>
    <x:t xml:space="preserve">Categories 1–5</x:t>
  </x:si>
  <x:si>
    <x:t xml:space="preserve">Do not call it Home Care</x:t>
  </x:si>
  <x:si>
    <x:t xml:space="preserve">Broader combined post-change group.</x:t>
  </x:si>
  <x:si>
    <x:t xml:space="preserve">For the combined Categories 1–5 group...</x:t>
  </x:si>
  <x:si>
    <x:t xml:space="preserve">Nov–Dec 2025</x:t>
  </x:si>
  <x:si>
    <x:t xml:space="preserve">FY2025–26 Q2 Partial</x:t>
  </x:si>
  <x:si>
    <x:t xml:space="preserve">Partial period</x:t>
  </x:si>
  <x:si>
    <x:t xml:space="preserve">Separate or annotate in trends</x:t>
  </x:si>
  <x:si>
    <x:t xml:space="preserve">Two months rather than three.</x:t>
  </x:si>
  <x:si>
    <x:t xml:space="preserve">The two-month transitional period reported...</x:t>
  </x:si>
  <x:si>
    <x:t xml:space="preserve">Q3 2024–25 worker cases</x:t>
  </x:si>
  <x:si>
    <x:t xml:space="preserve">Legacy method change</x:t>
  </x:si>
  <x:si>
    <x:t xml:space="preserve">Q3 2024–25</x:t>
  </x:si>
  <x:si>
    <x:t xml:space="preserve">Retain</x:t>
  </x:si>
  <x:si>
    <x:t xml:space="preserve">Methodology break</x:t>
  </x:si>
  <x:si>
    <x:t xml:space="preserve">Add vertical break/note</x:t>
  </x:si>
  <x:si>
    <x:t xml:space="preserve">Additional Code of Conduct cases were included.</x:t>
  </x:si>
  <x:si>
    <x:t xml:space="preserve">Reported cases changed under an expanded work definition...</x:t>
  </x:si>
  <x:si>
    <x:t xml:space="preserve">CCT / QAM / WICT</x:t>
  </x:si>
  <x:si>
    <x:t xml:space="preserve">Worker source labels</x:t>
  </x:si>
  <x:si>
    <x:t xml:space="preserve">Retain codes</x:t>
  </x:si>
  <x:si>
    <x:t xml:space="preserve">Pending confirmation</x:t>
  </x:si>
  <x:si>
    <x:t xml:space="preserve">Review required</x:t>
  </x:si>
  <x:si>
    <x:t xml:space="preserve">Do not expand until verified</x:t>
  </x:si>
  <x:si>
    <x:t xml:space="preserve">Authoritative definitions are not stored.</x:t>
  </x:si>
  <x:si>
    <x:t xml:space="preserve">The internal source code [code]...</x:t>
  </x:si>
  <x:si>
    <x:t xml:space="preserve">Legacy_Investigation_v1</x:t>
  </x:si>
  <x:si>
    <x:t xml:space="preserve">FY2024-25 Q1-Q2</x:t>
  </x:si>
  <x:si>
    <x:t xml:space="preserve">Legacy investigation method v1</x:t>
  </x:si>
  <x:si>
    <x:t xml:space="preserve">Defined project label</x:t>
  </x:si>
  <x:si>
    <x:t xml:space="preserve">Comparable within v1</x:t>
  </x:si>
  <x:si>
    <x:t xml:space="preserve">Apply to worker investigation records in Q1-Q2.</x:t>
  </x:si>
  <x:si>
    <x:t xml:space="preserve">Baseline before the reported Code of Conduct case expansion.</x:t>
  </x:si>
  <x:si>
    <x:t xml:space="preserve">Q1-Q2 worker investigation trends only</x:t>
  </x:si>
  <x:si>
    <x:t xml:space="preserve">Legacy_Investigation_v2_Code_Expansion</x:t>
  </x:si>
  <x:si>
    <x:t xml:space="preserve">FY2024-25 Q3-Q4</x:t>
  </x:si>
  <x:si>
    <x:t xml:space="preserve">Legacy investigation method v2</x:t>
  </x:si>
  <x:si>
    <x:t xml:space="preserve">Comparable within v2</x:t>
  </x:si>
  <x:si>
    <x:t xml:space="preserve">Apply to worker investigation records in Q3-Q4.</x:t>
  </x:si>
  <x:si>
    <x:t xml:space="preserve">Additional Code of Conduct cases were included from Q3.</x:t>
  </x:si>
  <x:si>
    <x:t xml:space="preserve">Annotate any comparison with Q1-Q2</x:t>
  </x:si>
  <x:si>
    <x:t xml:space="preserve">Legacy_SIRS_v1</x:t>
  </x:si>
  <x:si>
    <x:t xml:space="preserve">FY2024-25</x:t>
  </x:si>
  <x:si>
    <x:t xml:space="preserve">Legacy SIRS method</x:t>
  </x:si>
  <x:si>
    <x:t xml:space="preserve">Comparable within legacy series</x:t>
  </x:si>
  <x:si>
    <x:t xml:space="preserve">Apply to full-quarter SIRS incident rows.</x:t>
  </x:si>
  <x:si>
    <x:t xml:space="preserve">Three-month reporting periods with legacy classification.</x:t>
  </x:si>
  <x:si>
    <x:t xml:space="preserve">Use for FY2024-25 quarter comparisons</x:t>
  </x:si>
  <x:si>
    <x:t xml:space="preserve">Post_Act_2024_Transition_v1</x:t>
  </x:si>
  <x:si>
    <x:t xml:space="preserve">1 Nov-31 Dec 2025</x:t>
  </x:si>
  <x:si>
    <x:t xml:space="preserve">Post-change transition method</x:t>
  </x:si>
  <x:si>
    <x:t xml:space="preserve">Not directly comparable</x:t>
  </x:si>
  <x:si>
    <x:t xml:space="preserve">Apply to post-change complaints, SIRS and worker-regulation rows.</x:t>
  </x:si>
  <x:si>
    <x:t xml:space="preserve">Two-month period plus system, process and taxonomy change.</x:t>
  </x:si>
  <x:si>
    <x:t xml:space="preserve">Describe as a new baseline, not a direct trend continuation</x:t>
  </x:si>
  <x:si>
    <x:t xml:space="preserve">Source Register</x:t>
  </x:si>
  <x:si>
    <x:t xml:space="preserve">One row per dataset extract/publication section. Source_ID is the row-level lineage key used in clean tables; Report_ID identifies the wider publication.</x:t>
  </x:si>
  <x:si>
    <x:t xml:space="preserve">Report_ID</x:t>
  </x:si>
  <x:si>
    <x:t xml:space="preserve">Source_ID</x:t>
  </x:si>
  <x:si>
    <x:t xml:space="preserve">Dataset</x:t>
  </x:si>
  <x:si>
    <x:t xml:space="preserve">Report_Name</x:t>
  </x:si>
  <x:si>
    <x:t xml:space="preserve">Organisation</x:t>
  </x:si>
  <x:si>
    <x:t xml:space="preserve">Reporting_Period</x:t>
  </x:si>
  <x:si>
    <x:t xml:space="preserve">Period_Start</x:t>
  </x:si>
  <x:si>
    <x:t xml:space="preserve">Period_End</x:t>
  </x:si>
  <x:si>
    <x:t xml:space="preserve">Months_Reported</x:t>
  </x:si>
  <x:si>
    <x:t xml:space="preserve">Reporting_Era</x:t>
  </x:si>
  <x:si>
    <x:t xml:space="preserve">Source_URL</x:t>
  </x:si>
  <x:si>
    <x:t xml:space="preserve">Extraction_Date</x:t>
  </x:si>
  <x:si>
    <x:t xml:space="preserve">Limitations</x:t>
  </x:si>
  <x:si>
    <x:t xml:space="preserve">RPT-SPR-FY2024-25-Q1</x:t>
  </x:si>
  <x:si>
    <x:t xml:space="preserve">SRC-WRK-L01</x:t>
  </x:si>
  <x:si>
    <x:t xml:space="preserve">Worker regulation</x:t>
  </x:si>
  <x:si>
    <x:t xml:space="preserve">Sector Performance Report – Quarter 1 (July–September 2024)</x:t>
  </x:si>
  <x:si>
    <x:t xml:space="preserve">Aged Care Quality and Safety Commission</x:t>
  </x:si>
  <x:si>
    <x:t xml:space="preserve">Q1 2024-25</x:t>
  </x:si>
  <x:si>
    <x:t xml:space="preserve">https://www.agedcarequality.gov.au/news-publications/reports/sector-performance</x:t>
  </x:si>
  <x:si>
    <x:t xml:space="preserve">Located</x:t>
  </x:si>
  <x:si>
    <x:t xml:space="preserve">Full-quarter legacy worker-regulation data; source codes retained as published.</x:t>
  </x:si>
  <x:si>
    <x:t xml:space="preserve">SRC-SIRS-L01</x:t>
  </x:si>
  <x:si>
    <x:t xml:space="preserve">SIRS incidents</x:t>
  </x:si>
  <x:si>
    <x:t xml:space="preserve">Full-quarter legacy SIRS data; compare within the legacy methodology series.</x:t>
  </x:si>
  <x:si>
    <x:t xml:space="preserve">RPT-SPR-FY2024-25-Q2</x:t>
  </x:si>
  <x:si>
    <x:t xml:space="preserve">SRC-WRK-L02</x:t>
  </x:si>
  <x:si>
    <x:t xml:space="preserve">Sector Performance Report – Quarter 2 (October–December 2024)</x:t>
  </x:si>
  <x:si>
    <x:t xml:space="preserve">Q2 2024-25</x:t>
  </x:si>
  <x:si>
    <x:t xml:space="preserve">SRC-SIRS-L02</x:t>
  </x:si>
  <x:si>
    <x:t xml:space="preserve">RPT-SPR-FY2024-25-Q3</x:t>
  </x:si>
  <x:si>
    <x:t xml:space="preserve">SRC-WRK-L03</x:t>
  </x:si>
  <x:si>
    <x:t xml:space="preserve">Sector Performance Report – Quarter 3 (January–March 2025)</x:t>
  </x:si>
  <x:si>
    <x:t xml:space="preserve">Q3 2024-25</x:t>
  </x:si>
  <x:si>
    <x:t xml:space="preserve">Additional Code of Conduct cases included from Q3 2024-25; not directly comparable with Q1-Q2 without annotation.</x:t>
  </x:si>
  <x:si>
    <x:t xml:space="preserve">SRC-SIRS-L03</x:t>
  </x:si>
  <x:si>
    <x:t xml:space="preserve">RPT-SPR-FY2024-25-Q4</x:t>
  </x:si>
  <x:si>
    <x:t xml:space="preserve">SRC-WRK-L04</x:t>
  </x:si>
  <x:si>
    <x:t xml:space="preserve">Sector Performance Report – Quarter 4 (April–June 2025)</x:t>
  </x:si>
  <x:si>
    <x:t xml:space="preserve">Q4 2024-25</x:t>
  </x:si>
  <x:si>
    <x:t xml:space="preserve">SRC-SIRS-L04</x:t>
  </x:si>
  <x:si>
    <x:t xml:space="preserve">RPT-SPR-FY2025-26-Q2-PARTIAL</x:t>
  </x:si>
  <x:si>
    <x:t xml:space="preserve">SRC-WRK-P01</x:t>
  </x:si>
  <x:si>
    <x:t xml:space="preserve">Sector performance data – 1 November to 31 December 2025</x:t>
  </x:si>
  <x:si>
    <x:t xml:space="preserve">Nov-Dec 2025</x:t>
  </x:si>
  <x:si>
    <x:t xml:space="preserve">Post-change transition</x:t>
  </x:si>
  <x:si>
    <x:t xml:space="preserve">Two-month transition period. New systems/processes; published investigation totals require reconciliation before trend use.</x:t>
  </x:si>
  <x:si>
    <x:t xml:space="preserve">SRC-SIRS-P01</x:t>
  </x:si>
  <x:si>
    <x:t xml:space="preserve">Two-month transition period; not directly comparable with three-month legacy quarters.</x:t>
  </x:si>
  <x:si>
    <x:t xml:space="preserve">SRC-CMP-P01</x:t>
  </x:si>
  <x:si>
    <x:t xml:space="preserve">Complaints</x:t>
  </x:si>
  <x:si>
    <x:t xml:space="preserve">https://www.agedcarequality.gov.au/media/102436</x:t>
  </x:si>
  <x:si>
    <x:t xml:space="preserve">Two-month transition period; new complaint categories, types, subtypes, systems and processes. Not directly comparable with legacy complaint taxonomy.</x:t>
  </x:si>
  <x:si>
    <x:t xml:space="preserve">RPT-SPR-FY2025-26-Q1</x:t>
  </x:si>
  <x:si>
    <x:t xml:space="preserve">SRC-ALL-PENDING</x:t>
  </x:si>
  <x:si>
    <x:t xml:space="preserve">Multiple</x:t>
  </x:si>
  <x:si>
    <x:t xml:space="preserve">Sector Performance Report – Quarter 1 2025-26</x:t>
  </x:si>
  <x:si>
    <x:t xml:space="preserve">Q1 2025-26</x:t>
  </x:si>
  <x:si>
    <x:t xml:space="preserve">Not located</x:t>
  </x:si>
  <x:si>
    <x:t xml:space="preserve">Source publication not available in the project files at extraction date; do not impute values.</x:t>
  </x:si>
  <x:si>
    <x:t xml:space="preserve">Shared Data Dictionary – Aged Care Quality Analytics</x:t>
  </x:si>
  <x:si>
    <x:t xml:space="preserve">Field-level definitions shared across complaints, SIRS incidents and worker-regulation datasets. Pending abbreviations remain explicitly flagged.</x:t>
  </x:si>
  <x:si>
    <x:t xml:space="preserve">Domain</x:t>
  </x:si>
  <x:si>
    <x:t xml:space="preserve">Field_or_Term</x:t>
  </x:si>
  <x:si>
    <x:t xml:space="preserve">Plain_English_Definition</x:t>
  </x:si>
  <x:si>
    <x:t xml:space="preserve">Data_Type</x:t>
  </x:si>
  <x:si>
    <x:t xml:space="preserve">Format_or_Unit</x:t>
  </x:si>
  <x:si>
    <x:t xml:space="preserve">Allowed_Values_or_Example</x:t>
  </x:si>
  <x:si>
    <x:t xml:space="preserve">Required</x:t>
  </x:si>
  <x:si>
    <x:t xml:space="preserve">Definition_Status</x:t>
  </x:si>
  <x:si>
    <x:t xml:space="preserve">Analyst_Caution</x:t>
  </x:si>
  <x:si>
    <x:t xml:space="preserve">Metadata</x:t>
  </x:si>
  <x:si>
    <x:t xml:space="preserve">Record_ID</x:t>
  </x:si>
  <x:si>
    <x:t xml:space="preserve">Unique identifier for one clean-table observation.</x:t>
  </x:si>
  <x:si>
    <x:t xml:space="preserve">Text</x:t>
  </x:si>
  <x:si>
    <x:t xml:space="preserve">Code</x:t>
  </x:si>
  <x:si>
    <x:t xml:space="preserve">CMP-001</x:t>
  </x:si>
  <x:si>
    <x:t xml:space="preserve">Yes</x:t>
  </x:si>
  <x:si>
    <x:t xml:space="preserve">Confirmed</x:t>
  </x:si>
  <x:si>
    <x:t xml:space="preserve">Must be unique.</x:t>
  </x:si>
  <x:si>
    <x:t xml:space="preserve">Identifier linking a clean row to its source table or publication.</x:t>
  </x:si>
  <x:si>
    <x:t xml:space="preserve">Do not invent an ID when the source is unknown.</x:t>
  </x:si>
  <x:si>
    <x:t xml:space="preserve">Identifier for the complete published report.</x:t>
  </x:si>
  <x:si>
    <x:t xml:space="preserve">RPT-CMP-FY2025-26-Q2-PARTIAL</x:t>
  </x:si>
  <x:si>
    <x:t xml:space="preserve">Different from Source_ID when a report contains several tables.</x:t>
  </x:si>
  <x:si>
    <x:t xml:space="preserve">Source_Wording</x:t>
  </x:si>
  <x:si>
    <x:t xml:space="preserve">Exact label used in the source publication.</x:t>
  </x:si>
  <x:si>
    <x:t xml:space="preserve">As published</x:t>
  </x:si>
  <x:si>
    <x:t xml:space="preserve">Falls and mobility</x:t>
  </x:si>
  <x:si>
    <x:t xml:space="preserve">Preserve before applying any standard mapping.</x:t>
  </x:si>
  <x:si>
    <x:t xml:space="preserve">Controlled analytical term assigned after an approved mapping.</x:t>
  </x:si>
  <x:si>
    <x:t xml:space="preserve">Mapped term</x:t>
  </x:si>
  <x:si>
    <x:t xml:space="preserve">Conditional</x:t>
  </x:si>
  <x:si>
    <x:t xml:space="preserve">Leave blank when no safe mapping exists.</x:t>
  </x:si>
  <x:si>
    <x:t xml:space="preserve">Period</x:t>
  </x:si>
  <x:si>
    <x:t xml:space="preserve">First date included in the reporting period.</x:t>
  </x:si>
  <x:si>
    <x:t xml:space="preserve">Date</x:t>
  </x:si>
  <x:si>
    <x:t xml:space="preserve">dd/mm/yyyy</x:t>
  </x:si>
  <x:si>
    <x:t xml:space="preserve">01/11/2025</x:t>
  </x:si>
  <x:si>
    <x:t xml:space="preserve">Must be on or before Period_End.</x:t>
  </x:si>
  <x:si>
    <x:t xml:space="preserve">Last date included in the reporting period.</x:t>
  </x:si>
  <x:si>
    <x:t xml:space="preserve">31/12/2025</x:t>
  </x:si>
  <x:si>
    <x:t xml:space="preserve">Must be on or after Period_Start.</x:t>
  </x:si>
  <x:si>
    <x:t xml:space="preserve">Financial_Year</x:t>
  </x:si>
  <x:si>
    <x:t xml:space="preserve">Australian financial year represented by the row.</x:t>
  </x:si>
  <x:si>
    <x:t xml:space="preserve">YYYY–YY</x:t>
  </x:si>
  <x:si>
    <x:t xml:space="preserve">2025–26</x:t>
  </x:si>
  <x:si>
    <x:t xml:space="preserve">Avoid ambiguous calendar-year labels.</x:t>
  </x:si>
  <x:si>
    <x:t xml:space="preserve">Quarter</x:t>
  </x:si>
  <x:si>
    <x:t xml:space="preserve">Australian financial-year quarter.</x:t>
  </x:si>
  <x:si>
    <x:t xml:space="preserve">Q1–Q4/Partial</x:t>
  </x:si>
  <x:si>
    <x:t xml:space="preserve">Q2 Partial</x:t>
  </x:si>
  <x:si>
    <x:t xml:space="preserve">Nov–Dec 2025 is not a complete quarter.</x:t>
  </x:si>
  <x:si>
    <x:t xml:space="preserve">Number of months covered by the reporting period.</x:t>
  </x:si>
  <x:si>
    <x:t xml:space="preserve">Whole number</x:t>
  </x:si>
  <x:si>
    <x:t xml:space="preserve">Months</x:t>
  </x:si>
  <x:si>
    <x:t xml:space="preserve">2 or 3</x:t>
  </x:si>
  <x:si>
    <x:t xml:space="preserve">Required for partial-period checks.</x:t>
  </x:si>
  <x:si>
    <x:t xml:space="preserve">Method</x:t>
  </x:si>
  <x:si>
    <x:t xml:space="preserve">Regulatory/methodological era applying to the observation.</x:t>
  </x:si>
  <x:si>
    <x:t xml:space="preserve">Category</x:t>
  </x:si>
  <x:si>
    <x:t xml:space="preserve">Legacy; Post–1 Nov 2025</x:t>
  </x:si>
  <x:si>
    <x:t xml:space="preserve">Similar wording does not prove comparability.</x:t>
  </x:si>
  <x:si>
    <x:t xml:space="preserve">Taxonomy_Version</x:t>
  </x:si>
  <x:si>
    <x:t xml:space="preserve">Classification system used for types and subtypes.</x:t>
  </x:si>
  <x:si>
    <x:t xml:space="preserve">Version label</x:t>
  </x:si>
  <x:si>
    <x:t xml:space="preserve">Legacy complaints taxonomy</x:t>
  </x:si>
  <x:si>
    <x:t xml:space="preserve">Keep visible in analysis.</x:t>
  </x:si>
  <x:si>
    <x:t xml:space="preserve">Methodology_Version</x:t>
  </x:si>
  <x:si>
    <x:t xml:space="preserve">Counting and reporting rules applying to the row.</x:t>
  </x:si>
  <x:si>
    <x:t xml:space="preserve">Legacy worker method</x:t>
  </x:si>
  <x:si>
    <x:t xml:space="preserve">Record changes even when labels remain similar.</x:t>
  </x:si>
  <x:si>
    <x:t xml:space="preserve">Comparability_Status</x:t>
  </x:si>
  <x:si>
    <x:t xml:space="preserve">Assessment of whether the row may be compared with another period.</x:t>
  </x:si>
  <x:si>
    <x:t xml:space="preserve">Comparable; Qualified; New baseline; Partial; Review</x:t>
  </x:si>
  <x:si>
    <x:t xml:space="preserve">Controls interpretation, not the source value.</x:t>
  </x:si>
  <x:si>
    <x:t xml:space="preserve">Service</x:t>
  </x:si>
  <x:si>
    <x:t xml:space="preserve">Service_Setting</x:t>
  </x:si>
  <x:si>
    <x:t xml:space="preserve">Aged-care service or registration grouping reported by the source.</x:t>
  </x:si>
  <x:si>
    <x:t xml:space="preserve">Residential Care; Home Services; Category 6; Categories 1–5</x:t>
  </x:si>
  <x:si>
    <x:t xml:space="preserve">Keep published and standard settings separately if mapped.</x:t>
  </x:si>
  <x:si>
    <x:t xml:space="preserve">Home Care Packages program.</x:t>
  </x:si>
  <x:si>
    <x:t xml:space="preserve">Abbreviation</x:t>
  </x:si>
  <x:si>
    <x:t xml:space="preserve">No</x:t>
  </x:si>
  <x:si>
    <x:t xml:space="preserve">Legacy program; do not automatically map Categories 1–5 to HCP.</x:t>
  </x:si>
  <x:si>
    <x:t xml:space="preserve">Commonwealth Home Support Programme.</x:t>
  </x:si>
  <x:si>
    <x:t xml:space="preserve">May be combined with other home services in reports.</x:t>
  </x:si>
  <x:si>
    <x:t xml:space="preserve">Complaints_Received</x:t>
  </x:si>
  <x:si>
    <x:t xml:space="preserve">Number of distinct complaints received.</x:t>
  </x:si>
  <x:si>
    <x:t xml:space="preserve">1,551</x:t>
  </x:si>
  <x:si>
    <x:t xml:space="preserve">Different grain from concern assignments.</x:t>
  </x:si>
  <x:si>
    <x:t xml:space="preserve">Complaint_Concern</x:t>
  </x:si>
  <x:si>
    <x:t xml:space="preserve">An issue or subject raised within a complaint.</x:t>
  </x:si>
  <x:si>
    <x:t xml:space="preserve">Concept</x:t>
  </x:si>
  <x:si>
    <x:t xml:space="preserve">Medication; falls; fees</x:t>
  </x:si>
  <x:si>
    <x:t xml:space="preserve">One complaint may contain several concerns.</x:t>
  </x:si>
  <x:si>
    <x:t xml:space="preserve">Complaint_Concern_Subtype_Total</x:t>
  </x:si>
  <x:si>
    <x:t xml:space="preserve">Total number of recorded concern-subtype assignments.</x:t>
  </x:si>
  <x:si>
    <x:t xml:space="preserve">Concern assignments</x:t>
  </x:si>
  <x:si>
    <x:t xml:space="preserve">2,871</x:t>
  </x:si>
  <x:si>
    <x:t xml:space="preserve">Can exceed complaints received.</x:t>
  </x:si>
  <x:si>
    <x:t xml:space="preserve">Complaint_Type</x:t>
  </x:si>
  <x:si>
    <x:t xml:space="preserve">Broad parent classification of complaint concerns.</x:t>
  </x:si>
  <x:si>
    <x:t xml:space="preserve">Care provision and planning concerns</x:t>
  </x:si>
  <x:si>
    <x:t xml:space="preserve">Parent level of taxonomy.</x:t>
  </x:si>
  <x:si>
    <x:t xml:space="preserve">Complaint_Subtype</x:t>
  </x:si>
  <x:si>
    <x:t xml:space="preserve">Detailed child classification of a complaint concern.</x:t>
  </x:si>
  <x:si>
    <x:t xml:space="preserve">Child level of taxonomy.</x:t>
  </x:si>
  <x:si>
    <x:t xml:space="preserve">Metric_Level</x:t>
  </x:si>
  <x:si>
    <x:t xml:space="preserve">Level represented by the observation.</x:t>
  </x:si>
  <x:si>
    <x:t xml:space="preserve">Complaint total; Concern total; Type; Subtype; Rate</x:t>
  </x:si>
  <x:si>
    <x:t xml:space="preserve">Prevents unlike measures being added.</x:t>
  </x:si>
  <x:si>
    <x:t xml:space="preserve">Reported_Count</x:t>
  </x:si>
  <x:si>
    <x:t xml:space="preserve">Published count for the row's defined metric.</x:t>
  </x:si>
  <x:si>
    <x:t xml:space="preserve">Count</x:t>
  </x:si>
  <x:si>
    <x:t xml:space="preserve">401</x:t>
  </x:si>
  <x:si>
    <x:t xml:space="preserve">Meaning depends on Metric_Level.</x:t>
  </x:si>
  <x:si>
    <x:t xml:space="preserve">Percentage_of_Concerns</x:t>
  </x:si>
  <x:si>
    <x:t xml:space="preserve">Subtype count divided by the applicable total concern assignments.</x:t>
  </x:si>
  <x:si>
    <x:t xml:space="preserve">Decimal</x:t>
  </x:si>
  <x:si>
    <x:t xml:space="preserve">0.0%</x:t>
  </x:si>
  <x:si>
    <x:t xml:space="preserve">14.0%</x:t>
  </x:si>
  <x:si>
    <x:t xml:space="preserve">Denominator is concerns, not distinct complaints.</x:t>
  </x:si>
  <x:si>
    <x:t xml:space="preserve">Rates</x:t>
  </x:si>
  <x:si>
    <x:t xml:space="preserve">OBD</x:t>
  </x:si>
  <x:si>
    <x:t xml:space="preserve">Occupied bed days: occupied residential aged-care beds summed across days in the period.</x:t>
  </x:si>
  <x:si>
    <x:t xml:space="preserve">Occupied bed days</x:t>
  </x:si>
  <x:si>
    <x:t xml:space="preserve">Per 10,000 OBD</x:t>
  </x:si>
  <x:si>
    <x:t xml:space="preserve">Exposure denominator, not number of individual people.</x:t>
  </x:si>
  <x:si>
    <x:t xml:space="preserve">Complaint_Rate</x:t>
  </x:si>
  <x:si>
    <x:t xml:space="preserve">Applicable complaint count divided by OBD and multiplied by the published scale.</x:t>
  </x:si>
  <x:si>
    <x:t xml:space="preserve">1.2</x:t>
  </x:si>
  <x:si>
    <x:t xml:space="preserve">Provisional</x:t>
  </x:si>
  <x:si>
    <x:t xml:space="preserve">Confirm numerator and exclusions from source method.</x:t>
  </x:si>
  <x:si>
    <x:t xml:space="preserve">SIRS</x:t>
  </x:si>
  <x:si>
    <x:t xml:space="preserve">Serious Incident Response Scheme.</x:t>
  </x:si>
  <x:si>
    <x:t xml:space="preserve">A notification is not automatically a substantiated finding.</x:t>
  </x:si>
  <x:si>
    <x:t xml:space="preserve">Incident_Type</x:t>
  </x:si>
  <x:si>
    <x:t xml:space="preserve">Published classification describing the incident.</x:t>
  </x:si>
  <x:si>
    <x:t xml:space="preserve">Use source label</x:t>
  </x:si>
  <x:si>
    <x:t xml:space="preserve">Confirmed at field level</x:t>
  </x:si>
  <x:si>
    <x:t xml:space="preserve">Retain taxonomy version.</x:t>
  </x:si>
  <x:si>
    <x:t xml:space="preserve">Worker</x:t>
  </x:si>
  <x:si>
    <x:t xml:space="preserve">CCT</x:t>
  </x:si>
  <x:si>
    <x:t xml:space="preserve">Internal source code shown in the report.</x:t>
  </x:si>
  <x:si>
    <x:t xml:space="preserve">Confirmation required</x:t>
  </x:si>
  <x:si>
    <x:t xml:space="preserve">Do not guess expansion.</x:t>
  </x:si>
  <x:si>
    <x:t xml:space="preserve">QAM</x:t>
  </x:si>
  <x:si>
    <x:t xml:space="preserve">WICT</x:t>
  </x:si>
  <x:si>
    <x:t xml:space="preserve">DQ</x:t>
  </x:si>
  <x:si>
    <x:t xml:space="preserve">Composite_Key</x:t>
  </x:si>
  <x:si>
    <x:t xml:space="preserve">Combined fields expected to identify one unique observation.</x:t>
  </x:si>
  <x:si>
    <x:t xml:space="preserve">Delimited key</x:t>
  </x:si>
  <x:si>
    <x:t xml:space="preserve">Period|Service|Metric|Subtype|Source</x:t>
  </x:si>
  <x:si>
    <x:t xml:space="preserve">Derived</x:t>
  </x:si>
  <x:si>
    <x:t xml:space="preserve">Must match the table's grain.</x:t>
  </x:si>
  <x:si>
    <x:t xml:space="preserve">DQ_Status</x:t>
  </x:si>
  <x:si>
    <x:t xml:space="preserve">Result of documented quality rules.</x:t>
  </x:si>
  <x:si>
    <x:t xml:space="preserve">PASS; WARNING; FAIL; REVIEW REQUIRED</x:t>
  </x:si>
  <x:si>
    <x:t xml:space="preserve">A failed row may be corrected, excluded, accepted or escalated.</x:t>
  </x:si>
  <x:si>
    <x:t xml:space="preserve">Exception_Action</x:t>
  </x:si>
  <x:si>
    <x:t xml:space="preserve">Decision taken for a failed or reviewed record.</x:t>
  </x:si>
  <x:si>
    <x:t xml:space="preserve">Correct; Quarantine; Accept; Escalate</x:t>
  </x:si>
  <x:si>
    <x:t xml:space="preserve">Never change a value only to make it pass.</x:t>
  </x:si>
  <x:si>
    <x:t xml:space="preserve">Published SIRS incident classification.</x:t>
  </x:si>
  <x:si>
    <x:t xml:space="preserve">Categorical</x:t>
  </x:si>
  <x:si>
    <x:t xml:space="preserve">Published values only</x:t>
  </x:si>
  <x:si>
    <x:t xml:space="preserve">Unreasonable use of force</x:t>
  </x:si>
  <x:si>
    <x:t xml:space="preserve">Source wording is retained; standardise spacing only.</x:t>
  </x:si>
  <x:si>
    <x:t xml:space="preserve">Project schema</x:t>
  </x:si>
  <x:si>
    <x:t xml:space="preserve">Incident domain</x:t>
  </x:si>
  <x:si>
    <x:t xml:space="preserve">Priority_1_Count</x:t>
  </x:si>
  <x:si>
    <x:t xml:space="preserve">Number of Priority 1 SIRS notifications for the row.</x:t>
  </x:si>
  <x:si>
    <x:t xml:space="preserve">0 or greater</x:t>
  </x:si>
  <x:si>
    <x:t xml:space="preserve">1920</x:t>
  </x:si>
  <x:si>
    <x:t xml:space="preserve">Input count; must be non-negative.</x:t>
  </x:si>
  <x:si>
    <x:t xml:space="preserve">Incident metric</x:t>
  </x:si>
  <x:si>
    <x:t xml:space="preserve">Priority_2_Count</x:t>
  </x:si>
  <x:si>
    <x:t xml:space="preserve">Number of Priority 2 SIRS notifications for the row.</x:t>
  </x:si>
  <x:si>
    <x:t xml:space="preserve">6016</x:t>
  </x:si>
  <x:si>
    <x:t xml:space="preserve">Total_Count</x:t>
  </x:si>
  <x:si>
    <x:t xml:space="preserve">Total SIRS notifications for the row.</x:t>
  </x:si>
  <x:si>
    <x:t xml:space="preserve">Priority_1_Count + Priority_2_Count</x:t>
  </x:si>
  <x:si>
    <x:t xml:space="preserve">7936</x:t>
  </x:si>
  <x:si>
    <x:t xml:space="preserve">Calculated field used for reconciliation.</x:t>
  </x:si>
  <x:si>
    <x:t xml:space="preserve">Priority_1_Pct</x:t>
  </x:si>
  <x:si>
    <x:t xml:space="preserve">Priority 1 share of total notifications.</x:t>
  </x:si>
  <x:si>
    <x:t xml:space="preserve">Percentage</x:t>
  </x:si>
  <x:si>
    <x:t xml:space="preserve">0% to 100%</x:t>
  </x:si>
  <x:si>
    <x:t xml:space="preserve">24.19%</x:t>
  </x:si>
  <x:si>
    <x:t xml:space="preserve">Priority_1_Count divided by Total_Count.</x:t>
  </x:si>
  <x:si>
    <x:t xml:space="preserve">Priority_2_Pct</x:t>
  </x:si>
  <x:si>
    <x:t xml:space="preserve">Priority 2 share of total notifications.</x:t>
  </x:si>
  <x:si>
    <x:t xml:space="preserve">75.81%</x:t>
  </x:si>
  <x:si>
    <x:t xml:space="preserve">Priority_2_Count divided by Total_Count.</x:t>
  </x:si>
  <x:si>
    <x:t xml:space="preserve">Activity_Category</x:t>
  </x:si>
  <x:si>
    <x:t xml:space="preserve">High-level worker-regulation activity group.</x:t>
  </x:si>
  <x:si>
    <x:t xml:space="preserve">Investigation case | Regulatory letter | Banning order</x:t>
  </x:si>
  <x:si>
    <x:t xml:space="preserve">Investigation case</x:t>
  </x:si>
  <x:si>
    <x:t xml:space="preserve">Separates investigations from regulatory outcomes.</x:t>
  </x:si>
  <x:si>
    <x:t xml:space="preserve">Regulatory activity</x:t>
  </x:si>
  <x:si>
    <x:t xml:space="preserve">Source_Group</x:t>
  </x:si>
  <x:si>
    <x:t xml:space="preserve">Whether an investigation case originated internally or externally.</x:t>
  </x:si>
  <x:si>
    <x:t xml:space="preserve">Internal | External | Not applicable</x:t>
  </x:si>
  <x:si>
    <x:t xml:space="preserve">Internal</x:t>
  </x:si>
  <x:si>
    <x:t xml:space="preserve">Use Not applicable for letters and banning orders.</x:t>
  </x:si>
  <x:si>
    <x:t xml:space="preserve">Regulatory source</x:t>
  </x:si>
  <x:si>
    <x:t xml:space="preserve">Activity_Type</x:t>
  </x:si>
  <x:si>
    <x:t xml:space="preserve">Published investigation source or regulatory outcome label.</x:t>
  </x:si>
  <x:si>
    <x:t xml:space="preserve">Published wording</x:t>
  </x:si>
  <x:si>
    <x:t xml:space="preserve">Serious Incident Response Scheme</x:t>
  </x:si>
  <x:si>
    <x:t xml:space="preserve">Retain CCT, QAM and WICT as source codes until authoritative expansions are confirmed.</x:t>
  </x:si>
  <x:si>
    <x:t xml:space="preserve">Regulatory classification</x:t>
  </x:si>
  <x:si>
    <x:t xml:space="preserve">Case_Count</x:t>
  </x:si>
  <x:si>
    <x:t xml:space="preserve">Published count for the activity and reporting period.</x:t>
  </x:si>
  <x:si>
    <x:t xml:space="preserve">24</x:t>
  </x:si>
  <x:si>
    <x:t xml:space="preserve">Input count; subtotal rows are excluded from the clean fact table.</x:t>
  </x:si>
  <x:si>
    <x:t xml:space="preserve">Regulatory metric</x:t>
  </x:si>
  <x:si>
    <x:t xml:space="preserve">Entry-Level Data-Quality Checks</x:t>
  </x:si>
  <x:si>
    <x:t xml:space="preserve">Apply these five essential checks first. A failed record is investigated; it is not automatically deleted or changed.</x:t>
  </x:si>
  <x:si>
    <x:t xml:space="preserve">Rule_ID</x:t>
  </x:si>
  <x:si>
    <x:t xml:space="preserve">Dimension</x:t>
  </x:si>
  <x:si>
    <x:t xml:space="preserve">Rule</x:t>
  </x:si>
  <x:si>
    <x:t xml:space="preserve">Excel method</x:t>
  </x:si>
  <x:si>
    <x:t xml:space="preserve">PASS</x:t>
  </x:si>
  <x:si>
    <x:t xml:space="preserve">WARNING/REVIEW</x:t>
  </x:si>
  <x:si>
    <x:t xml:space="preserve">FAIL</x:t>
  </x:si>
  <x:si>
    <x:t xml:space="preserve">Action</x:t>
  </x:si>
  <x:si>
    <x:t xml:space="preserve">Applies to</x:t>
  </x:si>
  <x:si>
    <x:t xml:space="preserve">Completed?</x:t>
  </x:si>
  <x:si>
    <x:t xml:space="preserve">Evidence</x:t>
  </x:si>
  <x:si>
    <x:t xml:space="preserve">Notes</x:t>
  </x:si>
  <x:si>
    <x:t xml:space="preserve">DQ-01</x:t>
  </x:si>
  <x:si>
    <x:t xml:space="preserve">Completeness</x:t>
  </x:si>
  <x:si>
    <x:t xml:space="preserve">Mandatory fields are populated</x:t>
  </x:si>
  <x:si>
    <x:t xml:space="preserve">COUNTBLANK</x:t>
  </x:si>
  <x:si>
    <x:t xml:space="preserve">0 required blanks</x:t>
  </x:si>
  <x:si>
    <x:t xml:space="preserve">One or more required blanks</x:t>
  </x:si>
  <x:si>
    <x:t xml:space="preserve">Check source; complete, quarantine or escalate</x:t>
  </x:si>
  <x:si>
    <x:t xml:space="preserve">All clean tables</x:t>
  </x:si>
  <x:si>
    <x:t xml:space="preserve">DQ-02</x:t>
  </x:si>
  <x:si>
    <x:t xml:space="preserve">Uniqueness</x:t>
  </x:si>
  <x:si>
    <x:t xml:space="preserve">Composite observation key appears once</x:t>
  </x:si>
  <x:si>
    <x:t xml:space="preserve">COUNTIF/COUNTIFS</x:t>
  </x:si>
  <x:si>
    <x:t xml:space="preserve">Count = 1</x:t>
  </x:si>
  <x:si>
    <x:t xml:space="preserve">Count &gt; 1 requires review</x:t>
  </x:si>
  <x:si>
    <x:t xml:space="preserve">Inspect both rows and confirm grain</x:t>
  </x:si>
  <x:si>
    <x:t xml:space="preserve">DQ-03</x:t>
  </x:si>
  <x:si>
    <x:t xml:space="preserve">Validity</x:t>
  </x:si>
  <x:si>
    <x:t xml:space="preserve">Period start is on/before period end</x:t>
  </x:si>
  <x:si>
    <x:t xml:space="preserve">IF + date comparison</x:t>
  </x:si>
  <x:si>
    <x:t xml:space="preserve">Start ≤ End</x:t>
  </x:si>
  <x:si>
    <x:t xml:space="preserve">Start &gt; End</x:t>
  </x:si>
  <x:si>
    <x:t xml:space="preserve">Verify source and correct transcription with note</x:t>
  </x:si>
  <x:si>
    <x:t xml:space="preserve">DQ-04</x:t>
  </x:si>
  <x:si>
    <x:t xml:space="preserve">Percentage is blank or between 0% and 100%</x:t>
  </x:si>
  <x:si>
    <x:t xml:space="preserve">IF + AND/OR</x:t>
  </x:si>
  <x:si>
    <x:t xml:space="preserve">Blank or 0–1</x:t>
  </x:si>
  <x:si>
    <x:t xml:space="preserve">Outside 0–1</x:t>
  </x:si>
  <x:si>
    <x:t xml:space="preserve">Trace numerator, denominator and format</x:t>
  </x:si>
  <x:si>
    <x:t xml:space="preserve">Complaints/SIRS percentages</x:t>
  </x:si>
  <x:si>
    <x:t xml:space="preserve">DQ-05</x:t>
  </x:si>
  <x:si>
    <x:t xml:space="preserve">Accuracy</x:t>
  </x:si>
  <x:si>
    <x:t xml:space="preserve">Calculated component total equals applicable published total</x:t>
  </x:si>
  <x:si>
    <x:t xml:space="preserve">SUM/SUMIFS</x:t>
  </x:si>
  <x:si>
    <x:t xml:space="preserve">Difference = 0</x:t>
  </x:si>
  <x:si>
    <x:t xml:space="preserve">Definition mismatch needs review</x:t>
  </x:si>
  <x:si>
    <x:t xml:space="preserve">Difference ≠ 0</x:t>
  </x:si>
  <x:si>
    <x:t xml:space="preserve">Reconcile rows and document exception</x:t>
  </x:si>
  <x:si>
    <x:t xml:space="preserve">All datasets</x:t>
  </x:si>
  <x:si>
    <x:t xml:space="preserve">Practice control – Worker Regulation reconciliation</x:t>
  </x:si>
  <x:si>
    <x:t xml:space="preserve">Internal_Total</x:t>
  </x:si>
  <x:si>
    <x:t xml:space="preserve">External_Total</x:t>
  </x:si>
  <x:si>
    <x:t xml:space="preserve">Calculated_Total</x:t>
  </x:si>
  <x:si>
    <x:t xml:space="preserve">Published_Total</x:t>
  </x:si>
  <x:si>
    <x:t xml:space="preserve">Difference</x:t>
  </x:si>
  <x:si>
    <x:t xml:space="preserve">Analyst_Note</x:t>
  </x:si>
  <x:si>
    <x:t xml:space="preserve">FY2024–25 Q4</x:t>
  </x:si>
  <x:si>
    <x:t xml:space="preserve">Components reconcile.</x:t>
  </x:si>
  <x:si>
    <x:t xml:space="preserve">Source of investigation case</x:t>
  </x:si>
  <x:si>
    <x:t xml:space="preserve">Q1
2024–25</x:t>
  </x:si>
  <x:si>
    <x:t xml:space="preserve">Q2
2024–25*</x:t>
  </x:si>
  <x:si>
    <x:t xml:space="preserve">Q3
2024–25</x:t>
  </x:si>
  <x:si>
    <x:t xml:space="preserve">Q4
2024–25</x:t>
  </x:si>
  <x:si>
    <x:t xml:space="preserve">Internal source</x:t>
  </x:si>
  <x:si>
    <x:t xml:space="preserve">Commission Initiated</x:t>
  </x:si>
  <x:si>
    <x:t xml:space="preserve">Provider approval</x:t>
  </x:si>
  <x:si>
    <x:t xml:space="preserve">Compliance</x:t>
  </x:si>
  <x:si>
    <x:t xml:space="preserve">Complaints </x:t>
  </x:si>
  <x:si>
    <x:t xml:space="preserve">Other</x:t>
  </x:si>
  <x:si>
    <x:t xml:space="preserve">Total Internal</x:t>
  </x:si>
  <x:si>
    <x:t xml:space="preserve">External source</x:t>
  </x:si>
  <x:si>
    <x:t xml:space="preserve">NDIS Quality and Safeguards Commission</x:t>
  </x:si>
  <x:si>
    <x:t xml:space="preserve">External agency - Law enforcement</x:t>
  </x:si>
  <x:si>
    <x:t xml:space="preserve">External agency - DoHAC</x:t>
  </x:si>
  <x:si>
    <x:t xml:space="preserve">External agency - AHPRA</x:t>
  </x:si>
  <x:si>
    <x:t xml:space="preserve">Other external agencies</x:t>
  </x:si>
  <x:si>
    <x:t xml:space="preserve">Media</x:t>
  </x:si>
  <x:si>
    <x:t xml:space="preserve">Total External</x:t>
  </x:si>
  <x:si>
    <x:t xml:space="preserve">Overall Total (Internal + External)</x:t>
  </x:si>
  <x:si>
    <x:t xml:space="preserve">Figure 16: Worker regulation activities in Q4</x:t>
  </x:si>
  <x:si>
    <x:t xml:space="preserve">Figure 17: Investigations over the past 5 quarters</x:t>
  </x:si>
  <x:si>
    <x:t xml:space="preserve">* As of Q3 2024-25, additional cases regarding the Code of Conduct have been included in the counts, leading to an inflated figure compared to previous quarters. This is part of a change in how the work was defined up to this point and will be reflective of inclusions in future reports.</x:t>
  </x:si>
  <x:si>
    <x:t xml:space="preserve">Letters to Providers</x:t>
  </x:si>
  <x:si>
    <x:t xml:space="preserve">Q2
2024–25</x:t>
  </x:si>
  <x:si>
    <x:t xml:space="preserve">Nov - Dec 2025</x:t>
  </x:si>
  <x:si>
    <x:t xml:space="preserve">Caution letters to individuals</x:t>
  </x:si>
  <x:si>
    <x:r>
      <x:rPr>
        <x:sz val="11"/>
        <x:color indexed="8"/>
        <x:rFont val="Calibri"/>
      </x:rPr>
      <x:t xml:space="preserve">Reminder of responsibilities [obligation letters]</x:t>
    </x:r>
  </x:si>
  <x:si>
    <x:t xml:space="preserve">Overall total</x:t>
  </x:si>
  <x:si>
    <x:t xml:space="preserve">Figure 18: Letters to providers and individuals sent over the past 5 quarters</x:t>
  </x:si>
  <x:si>
    <x:t xml:space="preserve">Compliance and enforcement action - Banning orders</x:t>
  </x:si>
  <x:si>
    <x:t xml:space="preserve">Specified term banning order</x:t>
  </x:si>
  <x:si>
    <x:t xml:space="preserve">Permanent banning order</x:t>
  </x:si>
  <x:si>
    <x:t xml:space="preserve">Total banning orders</x:t>
  </x:si>
  <x:si>
    <x:t xml:space="preserve">Figure 19: Banning orders over the past 5 quarters</x:t>
  </x:si>
  <x:si>
    <x:t xml:space="preserve">period_start</x:t>
  </x:si>
  <x:si>
    <x:t xml:space="preserve">period_end</x:t>
  </x:si>
  <x:si>
    <x:t xml:space="preserve">financial_year</x:t>
  </x:si>
  <x:si>
    <x:t xml:space="preserve">reporting_period</x:t>
  </x:si>
  <x:si>
    <x:t xml:space="preserve">period_status</x:t>
  </x:si>
  <x:si>
    <x:t xml:space="preserve">activity_category</x:t>
  </x:si>
  <x:si>
    <x:t xml:space="preserve">source_group</x:t>
  </x:si>
  <x:si>
    <x:t xml:space="preserve">activity_type</x:t>
  </x:si>
  <x:si>
    <x:t xml:space="preserve">case_count</x:t>
  </x:si>
  <x:si>
    <x:t xml:space="preserve">methodology_version</x:t>
  </x:si>
  <x:si>
    <x:t xml:space="preserve">source_id</x:t>
  </x:si>
  <x:si>
    <x:t xml:space="preserve">comparability_status</x:t>
  </x:si>
  <x:si>
    <x:t xml:space="preserve">notes</x:t>
  </x:si>
  <x:si>
    <x:t xml:space="preserve">2024-25</x:t>
  </x:si>
  <x:si>
    <x:t xml:space="preserve">Full quarter</x:t>
  </x:si>
  <x:si>
    <x:t xml:space="preserve">Full-quarter legacy worker-regulation data. Internal/external source labels retained as published.</x:t>
  </x:si>
  <x:si>
    <x:t xml:space="preserve">Full-quarter legacy data. Additional Code of Conduct cases were included from Q3 2024-25; do not compare directly with Q1-Q2 without annotation.</x:t>
  </x:si>
  <x:si>
    <x:t xml:space="preserve">2025-26</x:t>
  </x:si>
  <x:si>
    <x:t xml:space="preserve">Two-month post-change transition period. Treat as a new baseline; published investigation totals require reconciliation before trend use.</x:t>
  </x:si>
  <x:si>
    <x:t xml:space="preserve">Full-quarter legacy worker-regulation data. Internal/external source labels retained as published. The source code is retained as published; its authoritative expansion is pending confirmation.</x:t>
  </x:si>
  <x:si>
    <x:t xml:space="preserve">Full-quarter legacy data. Additional Code of Conduct cases were included from Q3 2024-25; do not compare directly with Q1-Q2 without annotation. The source code is retained as published; its authoritative expansion is pending confirmation.</x:t>
  </x:si>
  <x:si>
    <x:t xml:space="preserve">Two-month post-change transition period. Treat as a new baseline; published investigation totals require reconciliation before trend use. The source code is retained as published; its authoritative expansion is pending confirmation.</x:t>
  </x:si>
  <x:si>
    <x:t xml:space="preserve">External</x:t>
  </x:si>
  <x:si>
    <x:t xml:space="preserve">Regulatory letter</x:t>
  </x:si>
  <x:si>
    <x:t xml:space="preserve">Not applicable</x:t>
  </x:si>
  <x:si>
    <x:t xml:space="preserve">Legacy_Regulatory_Actions_v1</x:t>
  </x:si>
  <x:si>
    <x:t xml:space="preserve">Regulatory correspondence/outcome category, not an investigation source. Full-quarter legacy count.</x:t>
  </x:si>
  <x:si>
    <x:t xml:space="preserve">Regulatory correspondence/outcome category, not an investigation source. Two-month post-change transition period; treat as a new baseline.</x:t>
  </x:si>
  <x:si>
    <x:t xml:space="preserve">Reminder of responsibilities [obligation letters]</x:t>
  </x:si>
  <x:si>
    <x:t xml:space="preserve">Banning order</x:t>
  </x:si>
  <x:si>
    <x:t xml:space="preserve">Enforcement outcome category, not an investigation source. Full-quarter legacy count.</x:t>
  </x:si>
  <x:si>
    <x:t xml:space="preserve">Enforcement outcome category, not an investigation source. Two-month post-change transition period; treat as a new baseline.</x:t>
  </x:si>
  <x:si>
    <x:t xml:space="preserve">SIRS: November – December 2025</x:t>
  </x:si>
  <x:si>
    <x:r>
      <x:rPr>
        <x:b/>
        <x:sz val="11"/>
        <x:color indexed="10"/>
        <x:rFont val="Open Sans"/>
      </x:rPr>
      <x:t xml:space="preserve">Return to contents</x:t>
    </x:r>
  </x:si>
  <x:si>
    <x:t xml:space="preserve">Source: Aged Care Quality and Safety Commission, Sector Performance Data, November–December 2025. Accessed 28 July 2026.</x:t>
  </x:si>
  <x:si>
    <x:t xml:space="preserve">Reportable incidents in residential care </x:t>
  </x:si>
  <x:si>
    <x:t xml:space="preserve">November - December 2025</x:t>
  </x:si>
  <x:si>
    <x:t xml:space="preserve">Priority 1 </x:t>
  </x:si>
  <x:si>
    <x:t xml:space="preserve">Priority 2</x:t>
  </x:si>
  <x:si>
    <x:t xml:space="preserve">Total </x:t>
  </x:si>
  <x:si>
    <x:t xml:space="preserve">Nov - Dec 2025
Priority 1 %</x:t>
  </x:si>
  <x:si>
    <x:t xml:space="preserve">Nov - Dec 2025
Priority 2 %</x:t>
  </x:si>
  <x:si>
    <x:t xml:space="preserve">Neglect </x:t>
  </x:si>
  <x:si>
    <x:t xml:space="preserve">Psychological or emotional abuse</x:t>
  </x:si>
  <x:si>
    <x:t xml:space="preserve">Unlawful sexual contact, or inappropriate sexual conduct</x:t>
  </x:si>
  <x:si>
    <x:t xml:space="preserve">Unexplained absence from care</x:t>
  </x:si>
  <x:si>
    <x:t xml:space="preserve">Unexpected death</x:t>
  </x:si>
  <x:si>
    <x:t xml:space="preserve">Inappropriate use of restrictive practices</x:t>
  </x:si>
  <x:si>
    <x:t xml:space="preserve">Stealing or financial coercion by a staff member</x:t>
  </x:si>
  <x:si>
    <x:t xml:space="preserve">TOTAL </x:t>
  </x:si>
  <x:si>
    <x:t xml:space="preserve">Table 6: All reported incidents and percentage of Priority 1 and Priority 2 incidents in residential care in November-December 2025</x:t>
  </x:si>
  <x:si>
    <x:t xml:space="preserve">SIRS notification rate for residential care </x:t>
  </x:si>
  <x:si>
    <x:t xml:space="preserve">Rate </x:t>
  </x:si>
  <x:si>
    <x:t xml:space="preserve">Table 7: SIRS notification rates in residential care </x:t>
  </x:si>
  <x:si>
    <x:t xml:space="preserve">Note: these rates are not comparable to prior or future rates. The calculation is based on 10,000 Occupied Bed Days (OBDs) for two months in contrast to previous rates which are based on three months.</x:t>
  </x:si>
  <x:si>
    <x:t xml:space="preserve">Residential care reporting rates for each incident type in residential care </x:t>
  </x:si>
  <x:si>
    <x:t xml:space="preserve">Neglect</x:t>
  </x:si>
  <x:si>
    <x:t xml:space="preserve">Unlawful or inappropriate sexual contact </x:t>
  </x:si>
  <x:si>
    <x:t xml:space="preserve">Table 8: SIRS reporting rates for each notification type in residential care</x:t>
  </x:si>
  <x:si>
    <x:t xml:space="preserve">Residential care reporting rates by provider size in residential care</x:t>
  </x:si>
  <x:si>
    <x:t xml:space="preserve">Small</x:t>
  </x:si>
  <x:si>
    <x:t xml:space="preserve">Medium</x:t>
  </x:si>
  <x:si>
    <x:t xml:space="preserve">Large</x:t>
  </x:si>
  <x:si>
    <x:t xml:space="preserve">Table 9: SIRS reporting rates by provider size in residential care</x:t>
  </x:si>
  <x:si>
    <x:t xml:space="preserve">Residential care reporting rates by ownership type in residential care</x:t>
  </x:si>
  <x:si>
    <x:t xml:space="preserve">For-profit</x:t>
  </x:si>
  <x:si>
    <x:t xml:space="preserve">Not-for-profit</x:t>
  </x:si>
  <x:si>
    <x:t xml:space="preserve">Government</x:t>
  </x:si>
  <x:si>
    <x:t xml:space="preserve">Table 10: SIRS reporting rates by ownership type in residential care</x:t>
  </x:si>
  <x:si>
    <x:t xml:space="preserve">Reportable incidents in home services</x:t>
  </x:si>
  <x:si>
    <x:t xml:space="preserve">Stealing from or financial coercion of a consumer by a staff member</x:t>
  </x:si>
  <x:si>
    <x:t xml:space="preserve">Missing consumers</x:t>
  </x:si>
  <x:si>
    <x:t xml:space="preserve">Table 11: All reported incidents and the percentage of Priority 1 and Priority 2 incidents in home services in November - December 2025</x:t>
  </x:si>
  <x:si>
    <x:t xml:space="preserve">Q4
2023‒24</x:t>
  </x:si>
  <x:si>
    <x:t xml:space="preserve">taging</x:t>
  </x:si>
  <x:si>
    <x:t xml:space="preserve">Q4
2024–25
Priority 1 %</x:t>
  </x:si>
  <x:si>
    <x:t xml:space="preserve">Q4
2024–25
Priority 2 %</x:t>
  </x:si>
  <x:si>
    <x:t xml:space="preserve">Figure 23: All reported incidents and percentage of Priority 1 and Priority 2 incidents in residential care in Q4</x:t>
  </x:si>
  <x:si>
    <x:t xml:space="preserve">Figure 24: Priority 1 and Priority 2 SIRS notifications in residential care over the past 5 quarters</x:t>
  </x:si>
  <x:si>
    <x:t xml:space="preserve">Figure 25: SIRS notification rates in residential care over the past 5 quarters</x:t>
  </x:si>
  <x:si>
    <x:t xml:space="preserve">SIRS reporting rates by size</x:t>
  </x:si>
  <x:si>
    <x:t xml:space="preserve">Residential care reporting rates per quarter for each quarter by provider size in residential care</x:t>
  </x:si>
  <x:si>
    <x:t xml:space="preserve">Figure 26: SIRS reporting rates by provider size in residential care over the past 5 quarters</x:t>
  </x:si>
  <x:si>
    <x:t xml:space="preserve">SIRS reporting rates by type</x:t>
  </x:si>
  <x:si>
    <x:t xml:space="preserve">Residential care reporting rates per quarter for each quarter by ownership type in residential care</x:t>
  </x:si>
  <x:si>
    <x:t xml:space="preserve">Figure 27: SIRS reporting rates for each quarter by ownership type in residential care over the past 5 quarters</x:t>
  </x:si>
  <x:si>
    <x:t xml:space="preserve">Residential care reporting rates per quarter for each incident type in residential care </x:t>
  </x:si>
  <x:si>
    <x:t xml:space="preserve">Figure 28: SIRS reporting rates for each notification type in residential care over the past 5 quarters</x:t>
  </x:si>
  <x:si>
    <x:t xml:space="preserve">Q1
2024‒25</x:t>
  </x:si>
  <x:si>
    <x:t xml:space="preserve">Figure 29: All reported incidents and the percentage of Priority 1 and Priority 2 incidents in home services in Q4</x:t>
  </x:si>
  <x:si>
    <x:t xml:space="preserve">Figure 30: SIRS Priority 1 and Priority 2 notifications in home services over the past 5 quarters</x:t>
  </x:si>
  <x:si>
    <x:t xml:space="preserve">service_setting</x:t>
  </x:si>
  <x:si>
    <x:t xml:space="preserve">incident_type</x:t>
  </x:si>
  <x:si>
    <x:t xml:space="preserve">priority_1_count</x:t>
  </x:si>
  <x:si>
    <x:t xml:space="preserve">priority_2_count</x:t>
  </x:si>
  <x:si>
    <x:t xml:space="preserve">total_count</x:t>
  </x:si>
  <x:si>
    <x:t xml:space="preserve">priority_1_pct</x:t>
  </x:si>
  <x:si>
    <x:t xml:space="preserve">priority_2_pct</x:t>
  </x:si>
  <x:si>
    <x:t xml:space="preserve">Residential_Care</x:t>
  </x:si>
  <x:si>
    <x:t xml:space="preserve">Full-quarter legacy SIRS notification data. Priority counts are source-reported; compare within the legacy series.</x:t>
  </x:si>
  <x:si>
    <x:t xml:space="preserve">Home_Care</x:t>
  </x:si>
  <x:si>
    <x:t xml:space="preserve">Two-month transition period from 1 Nov to 31 Dec 2025. Rates are not comparable with three-month legacy quarters; interpret counts with period-length caution.</x:t>
  </x:si>
  <x:si>
    <x:t xml:space="preserve">Complaints and complaints rate in residential care</x:t>
  </x:si>
  <x:si>
    <x:t xml:space="preserve">Complaints received </x:t>
  </x:si>
  <x:si>
    <x:r>
      <x:rPr>
        <x:sz val="11"/>
        <x:color indexed="8"/>
        <x:rFont val="Open Sans"/>
      </x:rPr>
      <x:t xml:space="preserve">Rates of complaints per 10,000 occupied bed days (OBD)</x:t>
    </x:r>
    <x:r>
      <x:rPr>
        <x:sz val="8"/>
        <x:color indexed="8"/>
        <x:rFont val="Open Sans"/>
      </x:rPr>
      <x:t xml:space="preserve"> </x:t>
    </x:r>
  </x:si>
  <x:si>
    <x:t xml:space="preserve">Figure 31: Number of complaints and complaints rate in residential care and home services in Q4</x:t>
  </x:si>
  <x:si>
    <x:t xml:space="preserve">Figure 32: Number of complaints and complaints rate in residential care over the past 5 quarters</x:t>
  </x:si>
  <x:si>
    <x:t xml:space="preserve">In Nov-Dec 2025 Complaint concern subtype total was 2871 which was not taken over the other year 2024- 2025</x:t>
  </x:si>
  <x:si>
    <x:t xml:space="preserve">Notes: One complaint may include multiple issues. Registered providers can provide services across multiple categories.</x:t>
  </x:si>
  <x:si>
    <x:t xml:space="preserve">Subject to change if extracted at a different point in time.</x:t>
  </x:si>
  <x:si>
    <x:t xml:space="preserve">Note: these rates are not comparable to prior or future rates. The calculation is based on 10,000 Occupied Bed Days (OBDs) for two months, in contrast to previous rates which are based on three months. From 1 November 2025, new complaint types, subtypes, systems and processes impact the number and details of complaint issues being captured.</x:t>
  </x:si>
  <x:si>
    <x:t xml:space="preserve">Complaints and complaints rate in home services</x:t>
  </x:si>
  <x:si>
    <x:r>
      <x:rPr>
        <x:b/>
        <x:sz val="11"/>
        <x:color indexed="8"/>
        <x:rFont val="Open Sans"/>
      </x:rPr>
      <x:t xml:space="preserve">HCP -</x:t>
    </x:r>
    <x:r>
      <x:rPr>
        <x:sz val="11"/>
        <x:color indexed="8"/>
        <x:rFont val="Open Sans"/>
      </x:rPr>
      <x:t xml:space="preserve"> Complaints received </x:t>
    </x:r>
  </x:si>
  <x:si>
    <x:r>
      <x:rPr>
        <x:b/>
        <x:sz val="11"/>
        <x:color indexed="8"/>
        <x:rFont val="Open Sans"/>
      </x:rPr>
      <x:t xml:space="preserve">HCP -</x:t>
    </x:r>
    <x:r>
      <x:rPr>
        <x:sz val="11"/>
        <x:color indexed="8"/>
        <x:rFont val="Open Sans"/>
      </x:rPr>
      <x:t xml:space="preserve"> Rate of complaints per 10,000 consumers </x:t>
    </x:r>
  </x:si>
  <x:si>
    <x:r>
      <x:rPr>
        <x:b/>
        <x:sz val="11"/>
        <x:color indexed="8"/>
        <x:rFont val="Open Sans"/>
      </x:rPr>
      <x:t xml:space="preserve">CHSP - </x:t>
    </x:r>
    <x:r>
      <x:rPr>
        <x:sz val="11"/>
        <x:color indexed="8"/>
        <x:rFont val="Open Sans"/>
      </x:rPr>
      <x:t xml:space="preserve">Complaints received </x:t>
    </x:r>
  </x:si>
  <x:si>
    <x:r>
      <x:rPr>
        <x:b/>
        <x:sz val="11"/>
        <x:color indexed="8"/>
        <x:rFont val="Open Sans"/>
      </x:rPr>
      <x:t xml:space="preserve">CHSP - </x:t>
    </x:r>
    <x:r>
      <x:rPr>
        <x:sz val="11"/>
        <x:color indexed="8"/>
        <x:rFont val="Open Sans"/>
      </x:rPr>
      <x:t xml:space="preserve">Rate of complaints per 10,000 consumers </x:t>
    </x:r>
  </x:si>
  <x:si>
    <x:r>
      <x:rPr>
        <x:sz val="11"/>
        <x:color indexed="8"/>
        <x:rFont val="Open Sans"/>
      </x:rPr>
      <x:t xml:space="preserve">Total Complaints received </x:t>
    </x:r>
    <x:r>
      <x:rPr>
        <x:b/>
        <x:sz val="11"/>
        <x:color indexed="8"/>
        <x:rFont val="Open Sans"/>
      </x:rPr>
      <x:t xml:space="preserve">(HCP + CHSP)</x:t>
    </x:r>
  </x:si>
  <x:si>
    <x:t xml:space="preserve">Figure 37: Number of complaints and the rate of complaints for every 10,000 people receiving home services over the past 5 quarters</x:t>
  </x:si>
  <x:si>
    <x:t xml:space="preserve">Complaints reporting rates by size</x:t>
  </x:si>
  <x:si>
    <x:t xml:space="preserve">Complaints rate in residential care by size</x:t>
  </x:si>
  <x:si>
    <x:t xml:space="preserve">Figure 33: Complaint rates for every 10,000 OBDs by provider size in residential care over the past 5 quarters</x:t>
  </x:si>
  <x:si>
    <x:t xml:space="preserve">Complaints reporting rates by type</x:t>
  </x:si>
  <x:si>
    <x:t xml:space="preserve">Complaints rate in residential care by ownership type</x:t>
  </x:si>
  <x:si>
    <x:t xml:space="preserve">For-profit </x:t>
  </x:si>
  <x:si>
    <x:t xml:space="preserve">Figure 34: Complaint rates for every 10,000 OBDs by ownership type in residential care over the past 5 quarters</x:t>
  </x:si>
  <x:si>
    <x:t xml:space="preserve">Residential care: 
Complaints by complainant group</x:t>
  </x:si>
  <x:si>
    <x:t xml:space="preserve">Representative or family member</x:t>
  </x:si>
  <x:si>
    <x:t xml:space="preserve">Anonymous</x:t>
  </x:si>
  <x:si>
    <x:t xml:space="preserve">Others *</x:t>
  </x:si>
  <x:si>
    <x:t xml:space="preserve">Care recipient</x:t>
  </x:si>
  <x:si>
    <x:t xml:space="preserve">Figure 35: Complaints by the group that made the complaint in residential care in Q4</x:t>
  </x:si>
  <x:si>
    <x:t xml:space="preserve">Top 20 - Complaint issues in residential care</x:t>
  </x:si>
  <x:si>
    <x:t xml:space="preserve">% of this issue compared to total issues</x:t>
  </x:si>
  <x:si>
    <x:t xml:space="preserve">Health Care - Falls prevention and post fall management</x:t>
  </x:si>
  <x:si>
    <x:t xml:space="preserve">Health Care - Medication administration and management</x:t>
  </x:si>
  <x:si>
    <x:t xml:space="preserve">Personnel - Number/Sufficiency</x:t>
  </x:si>
  <x:si>
    <x:t xml:space="preserve">Personal Care - Personal and oral hygiene</x:t>
  </x:si>
  <x:si>
    <x:t xml:space="preserve">Personnel - Behaviour/conduct</x:t>
  </x:si>
  <x:si>
    <x:t xml:space="preserve">Food and Catering - Quality and variety</x:t>
  </x:si>
  <x:si>
    <x:t xml:space="preserve">Client Assessment and Service Implementation - Change of clinical status/deterioration</x:t>
  </x:si>
  <x:si>
    <x:t xml:space="preserve">Consultation and Communication - Representative/family consultation and communication</x:t>
  </x:si>
  <x:si>
    <x:t xml:space="preserve">Personnel - Training/skills/qualifications/suitability</x:t>
  </x:si>
  <x:si>
    <x:t xml:space="preserve">Consultation and Communication - Internal complaints process</x:t>
  </x:si>
  <x:si>
    <x:t xml:space="preserve">Health Care - Wound management</x:t>
  </x:si>
  <x:si>
    <x:t xml:space="preserve">Health Care - Constipation and continence management</x:t>
  </x:si>
  <x:si>
    <x:t xml:space="preserve">Abuse - Physical</x:t>
  </x:si>
  <x:si>
    <x:t xml:space="preserve">Consultation and Communication - Lack of consultation/communication</x:t>
  </x:si>
  <x:si>
    <x:t xml:space="preserve">Health Care - Infectious diseases/infection control</x:t>
  </x:si>
  <x:si>
    <x:t xml:space="preserve">Physical Environment - Cleanliness</x:t>
  </x:si>
  <x:si>
    <x:t xml:space="preserve">Abuse - Neglect</x:t>
  </x:si>
  <x:si>
    <x:t xml:space="preserve">Financial - Fees and charges</x:t>
  </x:si>
  <x:si>
    <x:t xml:space="preserve">Personal Care - Personal safety &amp; Interventions</x:t>
  </x:si>
  <x:si>
    <x:t xml:space="preserve">Personal Property - Loss, damage and theft</x:t>
  </x:si>
  <x:si>
    <x:t xml:space="preserve">Figure 36: Top 5 complaints issues in residential care over the past 5 quarters</x:t>
  </x:si>
  <x:si>
    <x:t xml:space="preserve">Complaint issues in residential care</x:t>
  </x:si>
  <x:si>
    <x:t xml:space="preserve">Medication administration
and management</x:t>
  </x:si>
  <x:si>
    <x:t xml:space="preserve">Falls prevention and
post fall management</x:t>
  </x:si>
  <x:si>
    <x:t xml:space="preserve">Personnel number/sufficiency</x:t>
  </x:si>
  <x:si>
    <x:t xml:space="preserve">Personal and oral hygiene</x:t>
  </x:si>
  <x:si>
    <x:t xml:space="preserve">Note: The table for figure 37 includes the data for 31 and 37.</x:t>
  </x:si>
  <x:si>
    <x:t xml:space="preserve">Home Services: 
Complaints by complainant group</x:t>
  </x:si>
  <x:si>
    <x:t xml:space="preserve">Figure 38: Complaints by the group that made the complaint in home services in Q4</x:t>
  </x:si>
  <x:si>
    <x:t xml:space="preserve">Top 20 - Complaint issues in home services</x:t>
  </x:si>
  <x:si>
    <x:t xml:space="preserve">Client Assessment and Service Implementation - Consistent client care and coordination</x:t>
  </x:si>
  <x:si>
    <x:t xml:space="preserve">Client Assessment and Service Implementation - Case management</x:t>
  </x:si>
  <x:si>
    <x:t xml:space="preserve">Financial - Management of finances</x:t>
  </x:si>
  <x:si>
    <x:t xml:space="preserve">Financial - Reimbursements</x:t>
  </x:si>
  <x:si>
    <x:t xml:space="preserve">Client Assessment and Service Implementation - Care planning</x:t>
  </x:si>
  <x:si>
    <x:t xml:space="preserve">Financial - Statements</x:t>
  </x:si>
  <x:si>
    <x:t xml:space="preserve">Financial - Communication about fees and charges</x:t>
  </x:si>
  <x:si>
    <x:t xml:space="preserve">Goods and Equipment - Mobility aids</x:t>
  </x:si>
  <x:si>
    <x:t xml:space="preserve">Social and Domestic Assistance - Domestic assistance</x:t>
  </x:si>
  <x:si>
    <x:t xml:space="preserve">Personal Property - Home modifications</x:t>
  </x:si>
  <x:si>
    <x:t xml:space="preserve">Choice and Dignity - Consumer directed care (CDC)</x:t>
  </x:si>
  <x:si>
    <x:t xml:space="preserve">Personal Property - Home maintenance</x:t>
  </x:si>
  <x:si>
    <x:t xml:space="preserve">Goods and Equipment - Self-care aids</x:t>
  </x:si>
  <x:si>
    <x:t xml:space="preserve">Consultation and Communication - Ability to express need/wants</x:t>
  </x:si>
  <x:si>
    <x:t xml:space="preserve">Figure 39: Top 5 complaints issues in home services over the past 5 quarters</x:t>
  </x:si>
  <x:si>
    <x:t xml:space="preserve">Complaints received about home services*</x:t>
  </x:si>
  <x:si>
    <x:t xml:space="preserve">Lack of
consultation/communication</x:t>
  </x:si>
  <x:si>
    <x:t xml:space="preserve">Fees and charges</x:t>
  </x:si>
  <x:si>
    <x:t xml:space="preserve">Consistent client care
and coordination</x:t>
  </x:si>
  <x:si>
    <x:t xml:space="preserve">Case management</x:t>
  </x:si>
  <x:si>
    <x:t xml:space="preserve">Management of finances</x:t>
  </x:si>
  <x:si>
    <x:t xml:space="preserve"> Category 1-5: Top 20 complaint concern subtypes</x:t>
  </x:si>
  <x:si>
    <x:t xml:space="preserve">Complaint types</x:t>
  </x:si>
  <x:si>
    <x:t xml:space="preserve">Nov - Dec 2025
Number</x:t>
  </x:si>
  <x:si>
    <x:t xml:space="preserve">% of total complaints</x:t>
  </x:si>
  <x:si>
    <x:t xml:space="preserve">Other care provision and planning</x:t>
  </x:si>
  <x:si>
    <x:t xml:space="preserve">Communication or consultation about fees and charges</x:t>
  </x:si>
  <x:si>
    <x:t xml:space="preserve">Fees, charges and agreement concerns</x:t>
  </x:si>
  <x:si>
    <x:t xml:space="preserve">Late, cancelled, unavailable or inadequate services</x:t>
  </x:si>
  <x:si>
    <x:t xml:space="preserve">Support at Home, CHSP and respite services concerns</x:t>
  </x:si>
  <x:si>
    <x:t xml:space="preserve">Workforce management</x:t>
  </x:si>
  <x:si>
    <x:t xml:space="preserve">Provider and workforce concerns</x:t>
  </x:si>
  <x:si>
    <x:t xml:space="preserve">Food and drinks, dining, and nutrition</x:t>
  </x:si>
  <x:si>
    <x:t xml:space="preserve">SOR-E, Person-centred communication and ability to raise issues without reprisal</x:t>
  </x:si>
  <x:si>
    <x:t xml:space="preserve">Statement of rights concerns</x:t>
  </x:si>
  <x:si>
    <x:t xml:space="preserve">Other financial concerns</x:t>
  </x:si>
  <x:si>
    <x:t xml:space="preserve">Agreements</x:t>
  </x:si>
  <x:si>
    <x:t xml:space="preserve">Medication and medicines</x:t>
  </x:si>
  <x:si>
    <x:t xml:space="preserve">Workers, including volunteers</x:t>
  </x:si>
  <x:si>
    <x:t xml:space="preserve">Workers (incl volunteers) and responsible persons concerns</x:t>
  </x:si>
  <x:si>
    <x:t xml:space="preserve">Funding for services related to ageing</x:t>
  </x:si>
  <x:si>
    <x:t xml:space="preserve">Equipment</x:t>
  </x:si>
  <x:si>
    <x:t xml:space="preserve">Environment and/or equipment concerns</x:t>
  </x:si>
  <x:si>
    <x:t xml:space="preserve">Skin and wound care</x:t>
  </x:si>
  <x:si>
    <x:t xml:space="preserve">SOR-A, Independence, autonomy, empowerment and freedom of choice</x:t>
  </x:si>
  <x:si>
    <x:t xml:space="preserve">Behaviour support and restrictive practices</x:t>
  </x:si>
  <x:si>
    <x:t xml:space="preserve">Continence care</x:t>
  </x:si>
  <x:si>
    <x:t xml:space="preserve">Advocates, significant persons and social connection concerns</x:t>
  </x:si>
  <x:si>
    <x:t xml:space="preserve">Environment</x:t>
  </x:si>
  <x:si>
    <x:t xml:space="preserve"> Category 6: Top 20 complaint concern subtypes</x:t>
  </x:si>
  <x:si>
    <x:t xml:space="preserve">Pain, palliative care, and end of life care</x:t>
  </x:si>
  <x:si>
    <x:t xml:space="preserve">Infection prevention and control</x:t>
  </x:si>
  <x:si>
    <x:t xml:space="preserve">Physical abuse, including unreasonable use force</x:t>
  </x:si>
  <x:si>
    <x:t xml:space="preserve">Abuse concerns</x:t>
  </x:si>
  <x:si>
    <x:t xml:space="preserve">The legacy data show several increasing complaint signals, while November–December 2025 establishes a new reporting baseline that must be monitored separately because of material methodology and system changes.</x:t>
  </x:si>
  <x:si>
    <x:t xml:space="preserve">Complaints_Clean – Unified Legacy and Post-Change Records</x:t>
  </x:si>
  <x:si>
    <x:t xml:space="preserve">One shared schema is used for analysis. Methodology, service-group and comparability fields preserve the differences between the FY2024-25 legacy series and the Nov–Dec 2025 Q2 transition data.</x:t>
  </x:si>
  <x:si>
    <x:t xml:space="preserve">quarter</x:t>
  </x:si>
  <x:si>
    <x:t xml:space="preserve">service_group</x:t>
  </x:si>
  <x:si>
    <x:t xml:space="preserve">measure_group</x:t>
  </x:si>
  <x:si>
    <x:t xml:space="preserve">measure_name</x:t>
  </x:si>
  <x:si>
    <x:t xml:space="preserve">breakdown_dimension</x:t>
  </x:si>
  <x:si>
    <x:t xml:space="preserve">breakdown_value</x:t>
  </x:si>
  <x:si>
    <x:t xml:space="preserve">source_category</x:t>
  </x:si>
  <x:si>
    <x:t xml:space="preserve">source_subtype</x:t>
  </x:si>
  <x:si>
    <x:t xml:space="preserve">count_value</x:t>
  </x:si>
  <x:si>
    <x:t xml:space="preserve">rate_value</x:t>
  </x:si>
  <x:si>
    <x:t xml:space="preserve">percentage_value</x:t>
  </x:si>
  <x:si>
    <x:t xml:space="preserve">rate_unit</x:t>
  </x:si>
  <x:si>
    <x:t xml:space="preserve">source_wording</x:t>
  </x:si>
  <x:si>
    <x:t xml:space="preserve">Q1</x:t>
  </x:si>
  <x:si>
    <x:t xml:space="preserve">FY2024-25 Q1</x:t>
  </x:si>
  <x:si>
    <x:t xml:space="preserve">Complaint summary</x:t>
  </x:si>
  <x:si>
    <x:t xml:space="preserve">Complaints received</x:t>
  </x:si>
  <x:si>
    <x:t xml:space="preserve">Overall</x:t>
  </x:si>
  <x:si>
    <x:t xml:space="preserve">All residential care complaints</x:t>
  </x:si>
  <x:si>
    <x:t xml:space="preserve">Legacy complaint taxonomy (pre-1 Nov 2025)</x:t>
  </x:si>
  <x:si>
    <x:t xml:space="preserve">SRC-CMP-2425-Q1</x:t>
  </x:si>
  <x:si>
    <x:t xml:space="preserve">Comparable within FY2024-25 legacy series</x:t>
  </x:si>
  <x:si>
    <x:t xml:space="preserve">Legacy record retained in the unified layout. Compare only within the FY2024-25 legacy methodology series.</x:t>
  </x:si>
  <x:si>
    <x:t xml:space="preserve">Complaint rate</x:t>
  </x:si>
  <x:si>
    <x:t xml:space="preserve">Complaints rate</x:t>
  </x:si>
  <x:si>
    <x:t xml:space="preserve">Per 10,000 occupied bed days</x:t>
  </x:si>
  <x:si>
    <x:t xml:space="preserve">Rates of complaints per 10,000 occupied bed days (OBD)</x:t>
  </x:si>
  <x:si>
    <x:t xml:space="preserve">Home services – HCP</x:t>
  </x:si>
  <x:si>
    <x:t xml:space="preserve">Program type</x:t>
  </x:si>
  <x:si>
    <x:t xml:space="preserve">HCP - Complaints received</x:t>
  </x:si>
  <x:si>
    <x:t xml:space="preserve">Per 10,000 consumers</x:t>
  </x:si>
  <x:si>
    <x:t xml:space="preserve">HCP - Rate of complaints per 10,000 consumers</x:t>
  </x:si>
  <x:si>
    <x:t xml:space="preserve">Home services – CHSP</x:t>
  </x:si>
  <x:si>
    <x:t xml:space="preserve">CHSP - Complaints received</x:t>
  </x:si>
  <x:si>
    <x:t xml:space="preserve">CHSP - Rate of complaints per 10,000 consumers</x:t>
  </x:si>
  <x:si>
    <x:t xml:space="preserve">Home services – combined</x:t>
  </x:si>
  <x:si>
    <x:t xml:space="preserve">HCP + CHSP</x:t>
  </x:si>
  <x:si>
    <x:t xml:space="preserve">Total Complaints received (HCP + CHSP)</x:t>
  </x:si>
  <x:si>
    <x:t xml:space="preserve">Complaints by complainant group</x:t>
  </x:si>
  <x:si>
    <x:t xml:space="preserve">Complainant group</x:t>
  </x:si>
  <x:si>
    <x:t xml:space="preserve">Others</x:t>
  </x:si>
  <x:si>
    <x:t xml:space="preserve">Complaint concern</x:t>
  </x:si>
  <x:si>
    <x:t xml:space="preserve">Complaint issue</x:t>
  </x:si>
  <x:si>
    <x:t xml:space="preserve">Issue category and subtype</x:t>
  </x:si>
  <x:si>
    <x:t xml:space="preserve">Health Care</x:t>
  </x:si>
  <x:si>
    <x:t xml:space="preserve">Medication administration and management</x:t>
  </x:si>
  <x:si>
    <x:t xml:space="preserve">% of total complaint issues</x:t>
  </x:si>
  <x:si>
    <x:t xml:space="preserve">Personnel</x:t>
  </x:si>
  <x:si>
    <x:t xml:space="preserve">Number/Sufficiency</x:t>
  </x:si>
  <x:si>
    <x:t xml:space="preserve">Falls prevention and post fall management</x:t>
  </x:si>
  <x:si>
    <x:t xml:space="preserve">Personal Care</x:t>
  </x:si>
  <x:si>
    <x:t xml:space="preserve">Training/skills/qualifications/suitability</x:t>
  </x:si>
  <x:si>
    <x:t xml:space="preserve">Client Assessment and Service Implementation</x:t>
  </x:si>
  <x:si>
    <x:t xml:space="preserve">Change of clinical status/deterioration</x:t>
  </x:si>
  <x:si>
    <x:t xml:space="preserve">Consultation and Communication</x:t>
  </x:si>
  <x:si>
    <x:t xml:space="preserve">Lack of consultation/communication</x:t>
  </x:si>
  <x:si>
    <x:t xml:space="preserve">Representative/family consultation and communication</x:t>
  </x:si>
  <x:si>
    <x:t xml:space="preserve">Food and Catering</x:t>
  </x:si>
  <x:si>
    <x:t xml:space="preserve">Quality and variety</x:t>
  </x:si>
  <x:si>
    <x:t xml:space="preserve">Behaviour/conduct</x:t>
  </x:si>
  <x:si>
    <x:t xml:space="preserve">Constipation and continence management</x:t>
  </x:si>
  <x:si>
    <x:t xml:space="preserve">Abuse</x:t>
  </x:si>
  <x:si>
    <x:t xml:space="preserve">Physical</x:t>
  </x:si>
  <x:si>
    <x:t xml:space="preserve">Internal complaints process</x:t>
  </x:si>
  <x:si>
    <x:t xml:space="preserve">Physical Environment</x:t>
  </x:si>
  <x:si>
    <x:t xml:space="preserve">Cleanliness</x:t>
  </x:si>
  <x:si>
    <x:t xml:space="preserve">Wound management</x:t>
  </x:si>
  <x:si>
    <x:t xml:space="preserve">Consistent client care and coordination</x:t>
  </x:si>
  <x:si>
    <x:t xml:space="preserve">Financial</x:t>
  </x:si>
  <x:si>
    <x:t xml:space="preserve">Infectious diseases/infection control</x:t>
  </x:si>
  <x:si>
    <x:t xml:space="preserve">Health Care - Pain management</x:t>
  </x:si>
  <x:si>
    <x:t xml:space="preserve">Pain management</x:t>
  </x:si>
  <x:si>
    <x:t xml:space="preserve">Statements</x:t>
  </x:si>
  <x:si>
    <x:t xml:space="preserve">Reimbursements</x:t>
  </x:si>
  <x:si>
    <x:t xml:space="preserve">Communication about fees and charges</x:t>
  </x:si>
  <x:si>
    <x:t xml:space="preserve">Care planning</x:t>
  </x:si>
  <x:si>
    <x:t xml:space="preserve">Choice and Dignity</x:t>
  </x:si>
  <x:si>
    <x:t xml:space="preserve">Consumer directed care (CDC)</x:t>
  </x:si>
  <x:si>
    <x:t xml:space="preserve">Goods and Equipment</x:t>
  </x:si>
  <x:si>
    <x:t xml:space="preserve">Mobility aids</x:t>
  </x:si>
  <x:si>
    <x:t xml:space="preserve">Social and Domestic Assistance</x:t>
  </x:si>
  <x:si>
    <x:t xml:space="preserve">Domestic assistance</x:t>
  </x:si>
  <x:si>
    <x:t xml:space="preserve">Personal Property</x:t>
  </x:si>
  <x:si>
    <x:t xml:space="preserve">Home modifications</x:t>
  </x:si>
  <x:si>
    <x:t xml:space="preserve">Self-care aids</x:t>
  </x:si>
  <x:si>
    <x:t xml:space="preserve">Goods and Equipment - Medical and pharmaceutical supplies and equipment</x:t>
  </x:si>
  <x:si>
    <x:t xml:space="preserve">Medical and pharmaceutical supplies and equipment</x:t>
  </x:si>
  <x:si>
    <x:t xml:space="preserve">Ability to express need/wants</x:t>
  </x:si>
  <x:si>
    <x:t xml:space="preserve">Q2</x:t>
  </x:si>
  <x:si>
    <x:t xml:space="preserve">FY2024-25 Q2</x:t>
  </x:si>
  <x:si>
    <x:t xml:space="preserve">SRC-CMP-2425-Q2</x:t>
  </x:si>
  <x:si>
    <x:t xml:space="preserve">Personnel - Number/sufficiency</x:t>
  </x:si>
  <x:si>
    <x:t xml:space="preserve">Number/sufficiency</x:t>
  </x:si>
  <x:si>
    <x:t xml:space="preserve">Physical Environment - Client safety</x:t>
  </x:si>
  <x:si>
    <x:t xml:space="preserve">Client safety</x:t>
  </x:si>
  <x:si>
    <x:t xml:space="preserve">Health Care - Adequate nutrition and/or hydration</x:t>
  </x:si>
  <x:si>
    <x:t xml:space="preserve">Adequate nutrition and/or hydration</x:t>
  </x:si>
  <x:si>
    <x:t xml:space="preserve">Personal safety &amp; Interventions</x:t>
  </x:si>
  <x:si>
    <x:t xml:space="preserve">Home maintenance</x:t>
  </x:si>
  <x:si>
    <x:t xml:space="preserve">Consultation and Communication - Ability to express needs/wants</x:t>
  </x:si>
  <x:si>
    <x:t xml:space="preserve">Ability to express needs/wants</x:t>
  </x:si>
  <x:si>
    <x:t xml:space="preserve">Q3</x:t>
  </x:si>
  <x:si>
    <x:t xml:space="preserve">FY2024-25 Q3</x:t>
  </x:si>
  <x:si>
    <x:t xml:space="preserve">SRC-CMP-2425-Q3</x:t>
  </x:si>
  <x:si>
    <x:t xml:space="preserve">Security of Tenure/Agreement - Termination of agreement/services</x:t>
  </x:si>
  <x:si>
    <x:t xml:space="preserve">Security of Tenure/Agreement</x:t>
  </x:si>
  <x:si>
    <x:t xml:space="preserve">Termination of agreement/services</x:t>
  </x:si>
  <x:si>
    <x:t xml:space="preserve">Q4</x:t>
  </x:si>
  <x:si>
    <x:t xml:space="preserve">FY2024-25 Q4</x:t>
  </x:si>
  <x:si>
    <x:t xml:space="preserve">SRC-CMP-2425-Q4</x:t>
  </x:si>
  <x:si>
    <x:t xml:space="preserve">Loss, damage and theft</x:t>
  </x:si>
  <x:si>
    <x:t xml:space="preserve">Provider size</x:t>
  </x:si>
  <x:si>
    <x:t xml:space="preserve">Ownership type</x:t>
  </x:si>
  <x:si>
    <x:t xml:space="preserve">FY2025-26</x:t>
  </x:si>
  <x:si>
    <x:t xml:space="preserve">FY2025-26 Q2 – Nov-Dec</x:t>
  </x:si>
  <x:si>
    <x:t xml:space="preserve">Partial transition period</x:t>
  </x:si>
  <x:si>
    <x:t xml:space="preserve">Two-month transition extract (1 Nov–31 Dec 2025). New complaint categories, types, subtypes, systems and processes; not directly comparable with legacy complaint data. One complaint may contain multiple complaint concerns.</x:t>
  </x:si>
  <x:si>
    <x:t xml:space="preserve">Complaint concern subtype total</x:t>
  </x:si>
  <x:si>
    <x:t xml:space="preserve">All Category 6 complaint concern subtypes</x:t>
  </x:si>
  <x:si>
    <x:t xml:space="preserve">Two-month transition extract (1 Nov–31 Dec 2025). New complaint categories, types, subtypes, systems and processes; not directly comparable with legacy complaint data. This is a count of concerns, not a count of complaints.</x:t>
  </x:si>
  <x:si>
    <x:t xml:space="preserve">Two-month transition extract (1 Nov–31 Dec 2025). New complaint categories, types, subtypes, systems and processes; not directly comparable with legacy complaint data. The published rate covers two months, whereas the legacy quarterly rates cover three months.</x:t>
  </x:si>
  <x:si>
    <x:t xml:space="preserve">Two-month transition extract (1 Nov–31 Dec 2025). New complaint categories, types, subtypes, systems and processes; not directly comparable with legacy complaint data.</x:t>
  </x:si>
  <x:si>
    <x:t xml:space="preserve">Complaint concern subtype</x:t>
  </x:si>
  <x:si>
    <x:t xml:space="preserve">Concern subtype</x:t>
  </x:si>
  <x:si>
    <x:t xml:space="preserve">% of complaint concern subtype total</x:t>
  </x:si>
  <x:si>
    <x:t xml:space="preserve">Two-month transition extract (1 Nov–31 Dec 2025). New complaint categories, types, subtypes, systems and processes; not directly comparable with legacy complaint data. Published in the complaint concern subtype table. The percentage reconciles to the relevant concern subtype total, rather than the number of complaints.</x:t>
  </x:si>
  <x:si>
    <x:t xml:space="preserve">All Categories 1–5 complaint concern subtypes</x:t>
  </x:si>
  <x:si>
    <x:t xml:space="preserve">Aged Care Act 2024 — Plain-English Project Notes</x:t>
  </x:si>
  <x:si>
    <x:t xml:space="preserve">Area</x:t>
  </x:si>
  <x:si>
    <x:t xml:space="preserve">Before / problem addressed</x:t>
  </x:si>
  <x:si>
    <x:t xml:space="preserve">From 1 November 2025</x:t>
  </x:si>
  <x:si>
    <x:t xml:space="preserve">Why it matters to complaints analytics</x:t>
  </x:si>
  <x:si>
    <x:t xml:space="preserve">What to capture</x:t>
  </x:si>
  <x:si>
    <x:t xml:space="preserve">Official source</x:t>
  </x:si>
  <x:si>
    <x:t xml:space="preserve">Overall model</x:t>
  </x:si>
  <x:si>
    <x:t xml:space="preserve">The previous system was mainly framed around provider funding and compliance.</x:t>
  </x:si>
  <x:si>
    <x:t xml:space="preserve">A rights-based Act puts older people and their rights at the centre of government-funded aged care.</x:t>
  </x:si>
  <x:si>
    <x:t xml:space="preserve">Complaints are interpreted in the context of a person’s rights and actual remedy, not only provider process.</x:t>
  </x:si>
  <x:si>
    <x:t xml:space="preserve">Reporting_Era; Regulatory_Framework; rights-related complaint type.</x:t>
  </x:si>
  <x:si>
    <x:t xml:space="preserve">https://www.health.gov.au/our-work/aged-care-act/about</x:t>
  </x:si>
  <x:si>
    <x:t xml:space="preserve">Statement of Rights</x:t>
  </x:si>
  <x:si>
    <x:t xml:space="preserve">Rights existed across multiple instruments and consumer protections.</x:t>
  </x:si>
  <x:si>
    <x:t xml:space="preserve">The Act contains a Statement of Rights covering autonomy, equitable access, safe quality care, privacy, communication, supporters and raising concerns without reprisal.</x:t>
  </x:si>
  <x:si>
    <x:t xml:space="preserve">New complaint wording may align more directly to rights such as communication, choice, dignity and freedom from reprisal.</x:t>
  </x:si>
  <x:si>
    <x:t xml:space="preserve">Complaint_Type; Complaint_Subtype; Rights_Theme if later added.</x:t>
  </x:si>
  <x:si>
    <x:t xml:space="preserve">https://www.health.gov.au/our-work/support-at-home/responsibilities-of-support-at-home-providers/responsibilities-to-support-at-home-participants</x:t>
  </x:si>
  <x:si>
    <x:t xml:space="preserve">Provider registration</x:t>
  </x:si>
  <x:si>
    <x:t xml:space="preserve">Older program/provider approval structures were fragmented.</x:t>
  </x:si>
  <x:si>
    <x:t xml:space="preserve">Providers register in one or more of six service-based categories; Category 6 is residential care and Categories 1–5 cover several non-residential services.</x:t>
  </x:si>
  <x:si>
    <x:t xml:space="preserve">Explains why the November–December workbook uses Category 6 and Categories 1–5 rather than only residential/HCP/CHSP labels.</x:t>
  </x:si>
  <x:si>
    <x:t xml:space="preserve">Published_Service_Group; Standard_Service_Group.</x:t>
  </x:si>
  <x:si>
    <x:t xml:space="preserve">https://www.agedcarequality.gov.au/provider-handbook/registration-model/2a-registration-categories</x:t>
  </x:si>
  <x:si>
    <x:t xml:space="preserve">Quality Standards</x:t>
  </x:si>
  <x:si>
    <x:t xml:space="preserve">Eight previous standards applied from July 2019 to October 2025.</x:t>
  </x:si>
  <x:si>
    <x:t xml:space="preserve">Seven strengthened standards are more detailed and measurable, with stronger attention to governance, clinical care, food and nutrition, dementia and diversity.</x:t>
  </x:si>
  <x:si>
    <x:t xml:space="preserve">Complaint categories such as food, clinical care, governance and communication may be reorganised or newly emphasised.</x:t>
  </x:si>
  <x:si>
    <x:t xml:space="preserve">Taxonomy_Version; Standard mapping if added later.</x:t>
  </x:si>
  <x:si>
    <x:t xml:space="preserve">https://www.agedcarequality.gov.au/providers/quality-standards/previous-aged-care-quality-standards</x:t>
  </x:si>
  <x:si>
    <x:t xml:space="preserve">Complaints approach</x:t>
  </x:si>
  <x:si>
    <x:t xml:space="preserve">Earlier reporting and complaint systems used older program structures and classifications.</x:t>
  </x:si>
  <x:si>
    <x:t xml:space="preserve">A rights-based Complaints Commissioner and complaints approach considers rights, remedy, trust restoration and prevention.</x:t>
  </x:si>
  <x:si>
    <x:t xml:space="preserve">Counts across the change may reflect changed intake, coding and processes—not necessarily a real rise or fall in harm.</x:t>
  </x:si>
  <x:si>
    <x:t xml:space="preserve">Comparability_Status; Notes; source methodology.</x:t>
  </x:si>
  <x:si>
    <x:t xml:space="preserve">https://www.health.gov.au/resources/webinars/a-new-chapter-for-aged-care-from-1-november-2025-webinar</x:t>
  </x:si>
  <x:si>
    <x:t xml:space="preserve">Supported decision-making</x:t>
  </x:si>
  <x:si>
    <x:t xml:space="preserve">Representatives commonly made or supported decisions under older relationship arrangements.</x:t>
  </x:si>
  <x:si>
    <x:t xml:space="preserve">Older people are presumed able to make decisions and may choose a registered supporter.</x:t>
  </x:si>
  <x:si>
    <x:t xml:space="preserve">Complaints about choice, consent, communication or representative involvement need rights-sensitive interpretation.</x:t>
  </x:si>
  <x:si>
    <x:t xml:space="preserve">Optional Rights_Theme and Supporter_Involvement fields in future case-level data.</x:t>
  </x:si>
  <x:si>
    <x:t xml:space="preserve">https://www.health.gov.au/our-work/aged-care-act/resources/assessors</x:t>
  </x:si>
  <x:si>
    <x:t xml:space="preserve">Worker and provider accountability</x:t>
  </x:si>
  <x:si>
    <x:t xml:space="preserve">Responsibilities existed but were spread across previous legislation and standards.</x:t>
  </x:si>
  <x:si>
    <x:t xml:space="preserve">Clearer provider duties, strengthened standards, Code of Conduct expectations, monitoring, registration and whistleblower protections.</x:t>
  </x:si>
  <x:si>
    <x:t xml:space="preserve">A stronger regulatory model can affect reporting behaviour, investigation and recorded complaint volumes.</x:t>
  </x:si>
  <x:si>
    <x:t xml:space="preserve">Reporting_Era; Notes; enforcement or worker fields if available.</x:t>
  </x:si>
  <x:si>
    <x:t xml:space="preserve">Support at Home</x:t>
  </x:si>
  <x:si>
    <x:t xml:space="preserve">Home Care Packages, CHSP and other pathways used earlier program arrangements.</x:t>
  </x:si>
  <x:si>
    <x:t xml:space="preserve">Support at Home commenced with the Act and includes new classifications, care management, service agreements, budgets and statements.</x:t>
  </x:si>
  <x:si>
    <x:t xml:space="preserve">Legacy HCP/CHSP data are not a perfect match for Categories 1–5 or the new Support at Home environment.</x:t>
  </x:si>
  <x:si>
    <x:t xml:space="preserve">Never map Categories 1–5 directly to Home_Care without qualification.</x:t>
  </x:si>
  <x:si>
    <x:t xml:space="preserve">What was replaced</x:t>
  </x:si>
  <x:si>
    <x:t xml:space="preserve">The Aged Care Act 1997 and previous Quality Standards underpinned the earlier system.</x:t>
  </x:si>
  <x:si>
    <x:t xml:space="preserve">The Aged Care Act 2024 and associated Rules became the main legislative framework; the strengthened standards replaced the previous eight standards.</x:t>
  </x:si>
  <x:si>
    <x:t xml:space="preserve">This is a structural break in a time series, not a routine label correction.</x:t>
  </x:si>
  <x:si>
    <x:t xml:space="preserve">Keep legacy and post-change taxonomies identifiable in the same master table.</x:t>
  </x:si>
  <x:si>
    <x:t xml:space="preserve">https://www.health.gov.au/our-work/aged-care-act</x:t>
  </x:si>
</x:sst>
</file>

<file path=xl/styles.xml><?xml version="1.0" encoding="utf-8"?>
<x:styleSheet xmlns:x="http://schemas.openxmlformats.org/spreadsheetml/2006/main">
  <x:numFmts count="7">
    <x:numFmt numFmtId="164" formatCode="yyyy\-mm\-dd"/>
    <x:numFmt numFmtId="165" formatCode="0.0"/>
    <x:numFmt numFmtId="166" formatCode="#,##0.0"/>
    <x:numFmt numFmtId="167" formatCode="0.0%"/>
    <x:numFmt numFmtId="168" formatCode="dd/mm/yyyy"/>
    <x:numFmt numFmtId="200" formatCode="yyyy-mm-dd"/>
    <x:numFmt numFmtId="201" formatCode="#,##0"/>
  </x:numFmts>
  <x:fonts count="75">
    <x:font>
      <x:sz val="11"/>
      <x:color indexed="8"/>
      <x:name val="Calibri"/>
    </x:font>
    <x:font>
      <x:b/>
      <x:sz val="11"/>
      <x:color indexed="8"/>
      <x:name val="Calibri"/>
    </x:font>
    <x:font>
      <x:b/>
      <x:sz val="16"/>
      <x:color indexed="10"/>
      <x:name val="Open Sans"/>
    </x:font>
    <x:font>
      <x:i/>
      <x:sz val="10"/>
      <x:color indexed="12"/>
      <x:name val="Open Sans"/>
    </x:font>
    <x:font>
      <x:b/>
      <x:sz val="10"/>
      <x:color indexed="10"/>
      <x:name val="Open Sans"/>
    </x:font>
    <x:font>
      <x:sz val="10"/>
      <x:color indexed="15"/>
      <x:name val="Open Sans"/>
    </x:font>
    <x:font>
      <x:b/>
      <x:sz val="16"/>
      <x:color indexed="10"/>
      <x:name val="Aptos Display"/>
    </x:font>
    <x:font>
      <x:i/>
      <x:sz val="10"/>
      <x:color indexed="21"/>
      <x:name val="Aptos"/>
    </x:font>
    <x:font>
      <x:sz val="10"/>
      <x:color indexed="8"/>
      <x:name val="Aptos"/>
    </x:font>
    <x:font>
      <x:b/>
      <x:sz val="10"/>
      <x:color indexed="10"/>
      <x:name val="Aptos"/>
    </x:font>
    <x:font>
      <x:b/>
      <x:sz val="12"/>
      <x:color indexed="8"/>
      <x:name val="Calibri"/>
    </x:font>
    <x:font>
      <x:sz val="11"/>
      <x:color indexed="8"/>
      <x:name val="Calibri Light"/>
    </x:font>
    <x:font>
      <x:sz val="11"/>
      <x:color indexed="8"/>
      <x:name val="Open Sans"/>
    </x:font>
    <x:font>
      <x:sz val="11"/>
      <x:color indexed="8"/>
      <x:name val="Aptos Narrow"/>
    </x:font>
    <x:font>
      <x:b/>
      <x:sz val="11"/>
      <x:color indexed="8"/>
      <x:name val="Open Sans"/>
    </x:font>
    <x:font>
      <x:b/>
      <x:sz val="12"/>
      <x:color indexed="8"/>
      <x:name val="Open Sans"/>
    </x:font>
    <x:font>
      <x:i/>
      <x:sz val="11"/>
      <x:color indexed="11"/>
      <x:name val="Open Sans"/>
    </x:font>
    <x:font>
      <x:i/>
      <x:sz val="11"/>
      <x:color indexed="36"/>
      <x:name val="Calibri"/>
    </x:font>
    <x:font>
      <x:i/>
      <x:sz val="11"/>
      <x:color indexed="37"/>
      <x:name val="Calibri"/>
    </x:font>
    <x:font>
      <x:sz val="11"/>
      <x:color indexed="10"/>
      <x:name val="Open Sans"/>
    </x:font>
    <x:font>
      <x:b/>
      <x:sz val="11"/>
      <x:color indexed="10"/>
      <x:name val="Open Sans"/>
    </x:font>
    <x:font>
      <x:b/>
      <x:sz val="14"/>
      <x:color indexed="8"/>
      <x:name val="Open Sans"/>
    </x:font>
    <x:font>
      <x:i/>
      <x:sz val="11"/>
      <x:color indexed="37"/>
      <x:name val="Open Sans"/>
    </x:font>
    <x:font>
      <x:b/>
      <x:sz val="11"/>
      <x:color indexed="38"/>
      <x:name val="Open Sans"/>
    </x:font>
    <x:font>
      <x:b/>
      <x:i/>
      <x:sz val="11"/>
      <x:color indexed="36"/>
      <x:name val="Open Sans"/>
    </x:font>
    <x:font>
      <x:i/>
      <x:sz val="11"/>
      <x:color indexed="8"/>
      <x:name val="Open Sans"/>
    </x:font>
    <x:font>
      <x:i/>
      <x:sz val="11"/>
      <x:color indexed="36"/>
      <x:name val="Open Sans"/>
    </x:font>
    <x:font>
      <x:sz val="11"/>
      <x:color indexed="38"/>
      <x:name val="Open Sans"/>
    </x:font>
    <x:font>
      <x:sz val="8"/>
      <x:color indexed="8"/>
      <x:name val="Open Sans"/>
    </x:font>
    <x:font>
      <x:sz val="12"/>
      <x:color indexed="38"/>
      <x:name val="Open Sans"/>
    </x:font>
    <x:font>
      <x:b/>
      <x:sz val="11"/>
      <x:color indexed="37"/>
      <x:name val="Open Sans"/>
    </x:font>
    <x:font>
      <x:b/>
      <x:sz val="16"/>
      <x:color rgb="FF000000"/>
      <x:name val="Carlito"/>
    </x:font>
    <x:font>
      <x:sz val="11"/>
      <x:color rgb="FF000000"/>
      <x:name val="Carlito"/>
    </x:font>
    <x:font>
      <x:b/>
      <x:sz val="11"/>
      <x:color rgb="FF000000"/>
      <x:name val="Carlito"/>
    </x:font>
    <x:font>
      <x:sz val="10"/>
      <x:color rgb="FF000000"/>
      <x:name val="Carlito"/>
    </x:font>
    <x:font>
      <x:sz val="11"/>
      <x:color theme="0"/>
      <x:name val="Carlito"/>
    </x:font>
    <x:font>
      <x:sz val="11"/>
      <x:color theme="0"/>
      <x:name val="Calibri"/>
    </x:font>
    <x:font>
      <x:b/>
      <x:i/>
      <x:sz val="11"/>
      <x:color indexed="8"/>
      <x:name val="Calibri"/>
    </x:font>
    <x:font>
      <x:sz val="11"/>
      <x:color rgb="FF000000"/>
      <x:name val="Calibri"/>
    </x:font>
    <x:font>
      <x:b/>
      <x:sz val="16"/>
      <x:color rgb="FF000000"/>
      <x:name val="Open Sans"/>
    </x:font>
    <x:font>
      <x:sz val="11"/>
      <x:color rgb="FF000000"/>
      <x:name val="Calibri"/>
    </x:font>
    <x:font>
      <x:i/>
      <x:sz val="10"/>
      <x:color rgb="FF000000"/>
      <x:name val="Open Sans"/>
    </x:font>
    <x:font>
      <x:b/>
      <x:sz val="10"/>
      <x:color rgb="FF000000"/>
      <x:name val="Open Sans"/>
    </x:font>
    <x:font>
      <x:sz val="9"/>
      <x:color rgb="FF000000"/>
      <x:name val="Open Sans"/>
    </x:font>
    <x:font>
      <x:sz val="14"/>
      <x:color indexed="8"/>
      <x:name val="Calibri"/>
    </x:font>
    <x:font>
      <x:b/>
      <x:sz val="14"/>
      <x:color indexed="8"/>
      <x:name val="Calibri"/>
    </x:font>
    <x:font>
      <x:b/>
      <x:sz val="12"/>
      <x:color rgb="FF000000"/>
      <x:name val="Calibri"/>
    </x:font>
    <x:font>
      <x:b/>
      <x:sz val="10"/>
      <x:color rgb="FF1F2937"/>
      <x:name val="Aptos"/>
    </x:font>
    <x:font>
      <x:sz val="10"/>
      <x:color rgb="FF1F2937"/>
      <x:name val="Aptos"/>
    </x:font>
    <x:font>
      <x:b/>
      <x:sz val="15"/>
      <x:color rgb="FFFFFFFF"/>
      <x:name val="Aptos"/>
    </x:font>
    <x:font>
      <x:b/>
      <x:sz val="10"/>
      <x:color rgb="FF17365D"/>
      <x:name val="Aptos"/>
    </x:font>
    <x:font>
      <x:b/>
      <x:sz val="11"/>
      <x:color rgb="FFFFFFFF"/>
      <x:name val="Aptos"/>
    </x:font>
    <x:font>
      <x:i/>
      <x:sz val="10"/>
      <x:color rgb="FF1F2937"/>
      <x:name val="Aptos"/>
    </x:font>
    <x:font>
      <x:b/>
      <x:sz val="10"/>
      <x:color rgb="FF2E6B2E"/>
      <x:name val="Aptos"/>
    </x:font>
    <x:font>
      <x:b/>
      <x:sz val="10"/>
      <x:color rgb="FF9C0006"/>
      <x:name val="Aptos"/>
    </x:font>
    <x:font>
      <x:b/>
      <x:sz val="10"/>
      <x:color rgb="FF7F6000"/>
      <x:name val="Aptos"/>
    </x:font>
    <x:font>
      <x:i/>
      <x:sz val="10"/>
      <x:color rgb="FF17365D"/>
      <x:name val="Aptos"/>
    </x:font>
    <x:font>
      <x:b/>
      <x:i/>
      <x:sz val="10"/>
      <x:color rgb="FF1F2937"/>
      <x:name val="Aptos"/>
    </x:font>
    <x:font>
      <x:b/>
      <x:sz val="10"/>
      <x:color rgb="FF1F2937"/>
      <x:name val="Calibri"/>
    </x:font>
    <x:font>
      <x:sz val="10"/>
      <x:color rgb="FF1F2937"/>
      <x:name val="Calibri Light"/>
    </x:font>
    <x:font>
      <x:sz val="10"/>
      <x:color rgb="FF1F2937"/>
      <x:name val="Open Sans"/>
    </x:font>
    <x:font>
      <x:sz val="10"/>
      <x:color rgb="FF1F2937"/>
      <x:name val="Calibri"/>
    </x:font>
    <x:font>
      <x:sz val="10"/>
      <x:color rgb="FF1F2937"/>
      <x:name val="Aptos Narrow"/>
    </x:font>
    <x:font>
      <x:b/>
      <x:sz val="10"/>
      <x:color rgb="FF1F2937"/>
      <x:name val="Open Sans"/>
    </x:font>
    <x:font>
      <x:i/>
      <x:sz val="10"/>
      <x:color rgb="FF1F2937"/>
      <x:name val="Open Sans"/>
    </x:font>
    <x:font>
      <x:i/>
      <x:sz val="10"/>
      <x:color rgb="FF1F2937"/>
      <x:name val="Calibri"/>
    </x:font>
    <x:font>
      <x:b/>
      <x:sz val="15"/>
      <x:color rgb="FFFFFFFF"/>
      <x:name val="Calibri"/>
    </x:font>
    <x:font>
      <x:b/>
      <x:sz val="15"/>
      <x:color rgb="FFFFFFFF"/>
      <x:name val="Calibri Light"/>
    </x:font>
    <x:font>
      <x:b/>
      <x:sz val="10"/>
      <x:color rgb="FF17365D"/>
      <x:name val="Calibri"/>
    </x:font>
    <x:font>
      <x:b/>
      <x:sz val="10"/>
      <x:color rgb="FF17365D"/>
      <x:name val="Aptos Narrow"/>
    </x:font>
    <x:font>
      <x:b/>
      <x:sz val="10"/>
      <x:color rgb="FF17365D"/>
      <x:name val="Open Sans"/>
    </x:font>
    <x:font>
      <x:b/>
      <x:i/>
      <x:sz val="10"/>
      <x:color rgb="FF17365D"/>
      <x:name val="Open Sans"/>
    </x:font>
    <x:font>
      <x:b/>
      <x:i/>
      <x:sz val="10"/>
      <x:color rgb="FF1F2937"/>
      <x:name val="Open Sans"/>
    </x:font>
    <x:font>
      <x:b/>
      <x:sz val="15"/>
      <x:color rgb="FFFFFFFF"/>
      <x:name val="Open Sans"/>
    </x:font>
    <x:font>
      <x:b/>
      <x:sz val="11"/>
      <x:color rgb="FFFFFFFF"/>
      <x:name val="Open Sans"/>
    </x:font>
  </x:fonts>
  <x:fills count="32">
    <x:fill>
      <x:patternFill patternType="none"/>
    </x:fill>
    <x:fill>
      <x:patternFill patternType="gray125"/>
    </x:fill>
    <x:fill>
      <x:patternFill patternType="solid">
        <x:fgColor indexed="10"/>
      </x:patternFill>
    </x:fill>
    <x:fill>
      <x:patternFill patternType="solid">
        <x:fgColor indexed="11"/>
      </x:patternFill>
    </x:fill>
    <x:fill>
      <x:patternFill patternType="solid">
        <x:fgColor indexed="13"/>
      </x:patternFill>
    </x:fill>
    <x:fill>
      <x:patternFill patternType="solid">
        <x:fgColor indexed="16"/>
      </x:patternFill>
    </x:fill>
    <x:fill>
      <x:patternFill patternType="solid">
        <x:fgColor indexed="20"/>
      </x:patternFill>
    </x:fill>
    <x:fill>
      <x:patternFill patternType="solid">
        <x:fgColor indexed="23"/>
      </x:patternFill>
    </x:fill>
    <x:fill>
      <x:patternFill patternType="solid">
        <x:fgColor indexed="25"/>
      </x:patternFill>
    </x:fill>
    <x:fill>
      <x:patternFill patternType="solid">
        <x:fgColor indexed="30"/>
      </x:patternFill>
    </x:fill>
    <x:fill>
      <x:patternFill patternType="solid">
        <x:fgColor indexed="31"/>
      </x:patternFill>
    </x:fill>
    <x:fill>
      <x:patternFill patternType="solid">
        <x:fgColor indexed="32"/>
      </x:patternFill>
    </x:fill>
    <x:fill>
      <x:patternFill patternType="solid">
        <x:fgColor indexed="33"/>
      </x:patternFill>
    </x:fill>
    <x:fill>
      <x:patternFill patternType="solid">
        <x:fgColor indexed="34"/>
      </x:patternFill>
    </x:fill>
    <x:fill>
      <x:patternFill patternType="solid">
        <x:fgColor indexed="35"/>
      </x:patternFill>
    </x:fill>
    <x:fill>
      <x:patternFill patternType="solid">
        <x:fgColor indexed="39"/>
      </x:patternFill>
    </x:fill>
    <x:fill>
      <x:patternFill patternType="solid">
        <x:fgColor indexed="40"/>
      </x:patternFill>
    </x:fill>
    <x:fill>
      <x:patternFill patternType="solid">
        <x:fgColor indexed="41"/>
      </x:patternFill>
    </x:fill>
    <x:fill>
      <x:patternFill patternType="solid">
        <x:fgColor indexed="42"/>
      </x:patternFill>
    </x:fill>
    <x:fill>
      <x:patternFill patternType="solid">
        <x:fgColor theme="0"/>
      </x:patternFill>
    </x:fill>
    <x:fill>
      <x:patternFill patternType="solid">
        <x:fgColor theme="5"/>
      </x:patternFill>
    </x:fill>
    <x:fill>
      <x:patternFill patternType="solid">
        <x:fgColor indexed="9"/>
      </x:patternFill>
    </x:fill>
    <x:fill>
      <x:patternFill patternType="solid">
        <x:fgColor rgb="FFFFFFFF"/>
      </x:patternFill>
    </x:fill>
    <x:fill>
      <x:patternFill patternType="solid">
        <x:fgColor rgb="FFFFFFFF"/>
      </x:patternFill>
    </x:fill>
    <x:fill>
      <x:patternFill patternType="solid">
        <x:fgColor rgb="FF17365D"/>
      </x:patternFill>
    </x:fill>
    <x:fill>
      <x:patternFill patternType="solid">
        <x:fgColor rgb="FFDCE6F1"/>
      </x:patternFill>
    </x:fill>
    <x:fill>
      <x:patternFill patternType="solid">
        <x:fgColor rgb="FF1F6D7A"/>
      </x:patternFill>
    </x:fill>
    <x:fill>
      <x:patternFill patternType="solid">
        <x:fgColor rgb="FFE2F0D9"/>
      </x:patternFill>
    </x:fill>
    <x:fill>
      <x:patternFill patternType="solid">
        <x:fgColor rgb="FFFCE8E6"/>
      </x:patternFill>
    </x:fill>
    <x:fill>
      <x:patternFill patternType="solid">
        <x:fgColor rgb="FFFFF2CC"/>
      </x:patternFill>
    </x:fill>
    <x:fill>
      <x:patternFill patternType="solid">
        <x:fgColor rgb="FFEDF4FA"/>
      </x:patternFill>
    </x:fill>
    <x:fill>
      <x:patternFill patternType="solid">
        <x:fgColor rgb="FFF3F4F6"/>
      </x:patternFill>
    </x:fill>
  </x:fills>
  <x:borders count="130">
    <x:border/>
    <x:border>
      <x:left style="thin">
        <x:color indexed="9"/>
      </x:left>
      <x:right style="thin">
        <x:color indexed="9"/>
      </x:right>
      <x:top style="thin">
        <x:color indexed="9"/>
      </x:top>
      <x:bottom style="thin">
        <x:color indexed="8"/>
      </x:bottom>
    </x:border>
    <x:border>
      <x:left style="thin">
        <x:color indexed="9"/>
      </x:left>
      <x:right style="thin">
        <x:color indexed="9"/>
      </x:right>
      <x:top style="thin">
        <x:color indexed="9"/>
      </x:top>
      <x:bottom style="thin">
        <x:color indexed="9"/>
      </x:bottom>
    </x:border>
    <x:border>
      <x:left style="thin">
        <x:color indexed="8"/>
      </x:left>
      <x:right style="thin">
        <x:color indexed="8"/>
      </x:right>
      <x:top style="thin">
        <x:color indexed="8"/>
      </x:top>
      <x:bottom style="thin">
        <x:color indexed="8"/>
      </x:bottom>
    </x:border>
    <x:border>
      <x:left style="thin">
        <x:color indexed="8"/>
      </x:left>
      <x:right style="thin">
        <x:color indexed="9"/>
      </x:right>
      <x:top style="thin">
        <x:color indexed="9"/>
      </x:top>
      <x:bottom style="thin">
        <x:color indexed="9"/>
      </x:bottom>
    </x:border>
    <x:border>
      <x:left style="thin">
        <x:color indexed="9"/>
      </x:left>
      <x:right style="thin">
        <x:color indexed="9"/>
      </x:right>
      <x:top style="thin">
        <x:color indexed="8"/>
      </x:top>
      <x:bottom style="thin">
        <x:color indexed="9"/>
      </x:bottom>
    </x:border>
    <x:border>
      <x:left style="thin">
        <x:color indexed="9"/>
      </x:left>
      <x:top style="thin">
        <x:color indexed="9"/>
      </x:top>
    </x:border>
    <x:border>
      <x:top style="thin">
        <x:color indexed="9"/>
      </x:top>
    </x:border>
    <x:border>
      <x:right style="thin">
        <x:color indexed="9"/>
      </x:right>
      <x:top style="thin">
        <x:color indexed="9"/>
      </x:top>
      <x:bottom style="thin">
        <x:color indexed="9"/>
      </x:bottom>
    </x:border>
    <x:border>
      <x:left style="thin">
        <x:color indexed="9"/>
      </x:left>
      <x:bottom style="thin">
        <x:color indexed="14"/>
      </x:bottom>
    </x:border>
    <x:border>
      <x:bottom style="thin">
        <x:color indexed="14"/>
      </x:bottom>
    </x:border>
    <x:border>
      <x:left style="thin">
        <x:color indexed="14"/>
      </x:left>
      <x:top style="thin">
        <x:color indexed="14"/>
      </x:top>
      <x:bottom style="thin">
        <x:color indexed="14"/>
      </x:bottom>
    </x:border>
    <x:border>
      <x:top style="thin">
        <x:color indexed="14"/>
      </x:top>
      <x:bottom style="thin">
        <x:color indexed="14"/>
      </x:bottom>
    </x:border>
    <x:border>
      <x:right style="thin">
        <x:color indexed="14"/>
      </x:right>
      <x:top style="thin">
        <x:color indexed="14"/>
      </x:top>
      <x:bottom style="thin">
        <x:color indexed="14"/>
      </x:bottom>
    </x:border>
    <x:border>
      <x:left style="thin">
        <x:color indexed="14"/>
      </x:left>
      <x:right style="thin">
        <x:color indexed="9"/>
      </x:right>
      <x:top style="thin">
        <x:color indexed="9"/>
      </x:top>
      <x:bottom style="thin">
        <x:color indexed="9"/>
      </x:bottom>
    </x:border>
    <x:border>
      <x:left style="thin">
        <x:color indexed="14"/>
      </x:left>
      <x:right style="thin">
        <x:color indexed="9"/>
      </x:right>
      <x:top style="thin">
        <x:color indexed="14"/>
      </x:top>
      <x:bottom style="thin">
        <x:color indexed="14"/>
      </x:bottom>
    </x:border>
    <x:border>
      <x:left style="thin">
        <x:color indexed="9"/>
      </x:left>
      <x:right style="thin">
        <x:color indexed="9"/>
      </x:right>
      <x:top style="thin">
        <x:color indexed="14"/>
      </x:top>
      <x:bottom style="thin">
        <x:color indexed="14"/>
      </x:bottom>
    </x:border>
    <x:border>
      <x:left style="thin">
        <x:color indexed="9"/>
      </x:left>
      <x:right style="thin">
        <x:color indexed="14"/>
      </x:right>
      <x:top style="thin">
        <x:color indexed="14"/>
      </x:top>
      <x:bottom style="thin">
        <x:color indexed="14"/>
      </x:bottom>
    </x:border>
    <x:border>
      <x:left style="thin">
        <x:color indexed="9"/>
      </x:left>
      <x:right style="thin">
        <x:color indexed="9"/>
      </x:right>
      <x:top style="thin">
        <x:color indexed="14"/>
      </x:top>
      <x:bottom style="thin">
        <x:color indexed="9"/>
      </x:bottom>
    </x:border>
    <x:border>
      <x:left style="thin">
        <x:color indexed="9"/>
      </x:left>
    </x:border>
    <x:border>
      <x:left style="thin">
        <x:color indexed="9"/>
      </x:left>
      <x:right style="thin">
        <x:color indexed="9"/>
      </x:right>
      <x:bottom style="thin">
        <x:color indexed="9"/>
      </x:bottom>
    </x:border>
    <x:border>
      <x:left style="thin">
        <x:color indexed="9"/>
      </x:left>
      <x:right style="thin">
        <x:color indexed="9"/>
      </x:right>
      <x:top style="thin">
        <x:color indexed="9"/>
      </x:top>
      <x:bottom style="thin">
        <x:color indexed="22"/>
      </x:bottom>
    </x:border>
    <x:border>
      <x:left style="thin">
        <x:color indexed="22"/>
      </x:left>
      <x:right style="thin">
        <x:color indexed="22"/>
      </x:right>
      <x:top style="thin">
        <x:color indexed="22"/>
      </x:top>
      <x:bottom style="thin">
        <x:color indexed="22"/>
      </x:bottom>
    </x:border>
    <x:border>
      <x:left style="thin">
        <x:color indexed="22"/>
      </x:left>
      <x:right style="thin">
        <x:color indexed="9"/>
      </x:right>
      <x:top style="thin">
        <x:color indexed="9"/>
      </x:top>
      <x:bottom style="thin">
        <x:color indexed="9"/>
      </x:bottom>
    </x:border>
    <x:border>
      <x:left style="thin">
        <x:color indexed="9"/>
      </x:left>
      <x:top style="thin">
        <x:color indexed="22"/>
      </x:top>
      <x:bottom style="thin">
        <x:color indexed="24"/>
      </x:bottom>
    </x:border>
    <x:border>
      <x:top style="thin">
        <x:color indexed="22"/>
      </x:top>
      <x:bottom style="thin">
        <x:color indexed="24"/>
      </x:bottom>
    </x:border>
    <x:border>
      <x:left style="thin">
        <x:color indexed="9"/>
      </x:left>
      <x:right style="thin">
        <x:color indexed="9"/>
      </x:right>
      <x:top style="thin">
        <x:color indexed="24"/>
      </x:top>
      <x:bottom style="thin">
        <x:color indexed="24"/>
      </x:bottom>
    </x:border>
    <x:border>
      <x:left style="thin">
        <x:color indexed="9"/>
      </x:left>
      <x:top style="thin">
        <x:color indexed="24"/>
      </x:top>
      <x:bottom style="thin">
        <x:color indexed="24"/>
      </x:bottom>
    </x:border>
    <x:border>
      <x:top style="thin">
        <x:color indexed="24"/>
      </x:top>
      <x:bottom style="thin">
        <x:color indexed="24"/>
      </x:bottom>
    </x:border>
    <x:border>
      <x:left style="thin">
        <x:color indexed="9"/>
      </x:left>
      <x:right style="thin">
        <x:color indexed="9"/>
      </x:right>
      <x:top style="thin">
        <x:color indexed="24"/>
      </x:top>
    </x:border>
    <x:border>
      <x:left style="thin">
        <x:color indexed="9"/>
      </x:left>
      <x:bottom style="thin">
        <x:color indexed="8"/>
      </x:bottom>
    </x:border>
    <x:border>
      <x:bottom style="thin">
        <x:color indexed="8"/>
      </x:bottom>
    </x:border>
    <x:border>
      <x:left style="thin">
        <x:color indexed="9"/>
      </x:left>
      <x:right style="thin">
        <x:color indexed="9"/>
      </x:right>
      <x:top style="thin">
        <x:color indexed="8"/>
      </x:top>
    </x:border>
    <x:border>
      <x:left style="thin">
        <x:color indexed="9"/>
      </x:left>
      <x:bottom style="thin">
        <x:color indexed="22"/>
      </x:bottom>
    </x:border>
    <x:border>
      <x:right style="thin">
        <x:color indexed="9"/>
      </x:right>
      <x:top style="thin">
        <x:color indexed="9"/>
      </x:top>
      <x:bottom style="thin">
        <x:color indexed="22"/>
      </x:bottom>
    </x:border>
    <x:border>
      <x:left style="thin">
        <x:color indexed="9"/>
      </x:left>
      <x:right style="thin">
        <x:color indexed="9"/>
      </x:right>
      <x:top style="thin">
        <x:color indexed="22"/>
      </x:top>
      <x:bottom style="thin">
        <x:color indexed="24"/>
      </x:bottom>
    </x:border>
    <x:border>
      <x:left style="thin">
        <x:color indexed="8"/>
      </x:left>
      <x:right style="thin">
        <x:color indexed="8"/>
      </x:right>
      <x:top style="thin">
        <x:color indexed="9"/>
      </x:top>
      <x:bottom style="thin">
        <x:color indexed="8"/>
      </x:bottom>
    </x:border>
    <x:border>
      <x:left style="thin">
        <x:color indexed="8"/>
      </x:left>
      <x:top style="thin">
        <x:color indexed="8"/>
      </x:top>
      <x:bottom style="thin">
        <x:color indexed="8"/>
      </x:bottom>
    </x:border>
    <x:border>
      <x:top style="thin">
        <x:color indexed="8"/>
      </x:top>
      <x:bottom style="thin">
        <x:color indexed="8"/>
      </x:bottom>
    </x:border>
    <x:border>
      <x:right style="thin">
        <x:color indexed="8"/>
      </x:right>
      <x:top style="thin">
        <x:color indexed="8"/>
      </x:top>
      <x:bottom style="thin">
        <x:color indexed="8"/>
      </x:bottom>
    </x:border>
    <x:border>
      <x:left style="thin">
        <x:color indexed="8"/>
      </x:left>
      <x:right style="thin">
        <x:color indexed="9"/>
      </x:right>
      <x:top style="thin">
        <x:color indexed="8"/>
      </x:top>
      <x:bottom style="thin">
        <x:color indexed="8"/>
      </x:bottom>
    </x:border>
    <x:border>
      <x:left style="thin">
        <x:color indexed="8"/>
      </x:left>
      <x:right style="thin">
        <x:color indexed="8"/>
      </x:right>
      <x:top style="thin">
        <x:color indexed="8"/>
      </x:top>
    </x:border>
    <x:border>
      <x:left style="thin">
        <x:color indexed="9"/>
      </x:left>
      <x:right style="thin">
        <x:color indexed="9"/>
      </x:right>
      <x:bottom style="thin">
        <x:color indexed="8"/>
      </x:bottom>
    </x:border>
    <x:border>
      <x:left style="thin">
        <x:color indexed="8"/>
      </x:left>
      <x:right style="thin">
        <x:color indexed="8"/>
      </x:right>
      <x:bottom style="thin">
        <x:color indexed="8"/>
      </x:bottom>
    </x:border>
    <x:border>
      <x:left style="thin">
        <x:color indexed="8"/>
      </x:left>
      <x:right style="thin">
        <x:color indexed="8"/>
      </x:right>
      <x:top style="thin">
        <x:color indexed="9"/>
      </x:top>
      <x:bottom style="thin">
        <x:color indexed="9"/>
      </x:bottom>
    </x:border>
    <x:border>
      <x:left style="thin">
        <x:color indexed="9"/>
      </x:left>
      <x:right style="thin">
        <x:color indexed="9"/>
      </x:right>
      <x:top style="thin">
        <x:color indexed="9"/>
      </x:top>
    </x:border>
    <x:border/>
    <x:border>
      <x:right style="thin">
        <x:color indexed="9"/>
      </x:right>
    </x:border>
    <x:border>
      <x:left style="thin">
        <x:color indexed="8"/>
      </x:left>
      <x:right style="thin">
        <x:color indexed="9"/>
      </x:right>
      <x:top style="thin">
        <x:color indexed="9"/>
      </x:top>
      <x:bottom style="thin">
        <x:color indexed="8"/>
      </x:bottom>
    </x:border>
    <x:border>
      <x:left style="thin">
        <x:color indexed="8"/>
      </x:left>
      <x:right style="thin">
        <x:color indexed="9"/>
      </x:right>
      <x:top style="thin">
        <x:color indexed="8"/>
      </x:top>
      <x:bottom style="thin">
        <x:color indexed="9"/>
      </x:bottom>
    </x:border>
    <x:border>
      <x:left style="thin">
        <x:color indexed="9"/>
      </x:left>
      <x:right style="thin">
        <x:color indexed="9"/>
      </x:right>
      <x:top style="thin">
        <x:color indexed="8"/>
      </x:top>
      <x:bottom style="thin">
        <x:color indexed="8"/>
      </x:bottom>
    </x:border>
    <x:border>
      <x:left style="thin">
        <x:color indexed="11"/>
      </x:left>
      <x:top style="thin">
        <x:color indexed="11"/>
      </x:top>
    </x:border>
    <x:border>
      <x:top style="thin">
        <x:color indexed="11"/>
      </x:top>
    </x:border>
    <x:border>
      <x:right style="thin">
        <x:color indexed="11"/>
      </x:right>
      <x:top style="thin">
        <x:color indexed="11"/>
      </x:top>
    </x:border>
    <x:border>
      <x:left style="thin">
        <x:color indexed="11"/>
      </x:left>
    </x:border>
    <x:border>
      <x:right style="thin">
        <x:color indexed="11"/>
      </x:right>
    </x:border>
    <x:border>
      <x:left style="thin">
        <x:color indexed="17"/>
      </x:left>
      <x:right style="thin">
        <x:color indexed="17"/>
      </x:right>
      <x:top style="thin">
        <x:color indexed="17"/>
      </x:top>
      <x:bottom style="thin">
        <x:color indexed="17"/>
      </x:bottom>
    </x:border>
    <x:border>
      <x:left style="thin">
        <x:color indexed="17"/>
      </x:left>
      <x:right style="thin">
        <x:color indexed="11"/>
      </x:right>
    </x:border>
    <x:border>
      <x:left style="thin">
        <x:color indexed="19"/>
      </x:left>
      <x:top style="thin">
        <x:color indexed="17"/>
      </x:top>
      <x:bottom style="thin">
        <x:color indexed="19"/>
      </x:bottom>
    </x:border>
    <x:border>
      <x:top style="thin">
        <x:color indexed="17"/>
      </x:top>
      <x:bottom style="thin">
        <x:color indexed="19"/>
      </x:bottom>
    </x:border>
    <x:border>
      <x:right style="thin">
        <x:color indexed="19"/>
      </x:right>
      <x:top style="thin">
        <x:color indexed="17"/>
      </x:top>
      <x:bottom style="thin">
        <x:color indexed="19"/>
      </x:bottom>
    </x:border>
    <x:border>
      <x:left style="thin">
        <x:color indexed="19"/>
      </x:left>
      <x:right style="thin">
        <x:color indexed="11"/>
      </x:right>
    </x:border>
    <x:border>
      <x:left style="thin">
        <x:color indexed="19"/>
      </x:left>
      <x:top style="thin">
        <x:color indexed="19"/>
      </x:top>
      <x:bottom style="thin">
        <x:color indexed="19"/>
      </x:bottom>
    </x:border>
    <x:border>
      <x:top style="thin">
        <x:color indexed="19"/>
      </x:top>
      <x:bottom style="thin">
        <x:color indexed="19"/>
      </x:bottom>
    </x:border>
    <x:border>
      <x:right style="thin">
        <x:color indexed="19"/>
      </x:right>
      <x:top style="thin">
        <x:color indexed="19"/>
      </x:top>
      <x:bottom style="thin">
        <x:color indexed="19"/>
      </x:bottom>
    </x:border>
    <x:border>
      <x:left style="thin">
        <x:color indexed="11"/>
      </x:left>
      <x:top style="thin">
        <x:color indexed="19"/>
      </x:top>
      <x:bottom style="thin">
        <x:color indexed="11"/>
      </x:bottom>
    </x:border>
    <x:border>
      <x:top style="thin">
        <x:color indexed="19"/>
      </x:top>
      <x:bottom style="thin">
        <x:color indexed="11"/>
      </x:bottom>
    </x:border>
    <x:border>
      <x:right style="thin">
        <x:color indexed="11"/>
      </x:right>
      <x:bottom style="thin">
        <x:color indexed="11"/>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left style="thin">
        <x:color indexed="10"/>
      </x:left>
      <x:right style="thin">
        <x:color indexed="10"/>
      </x:right>
      <x:top style="thin">
        <x:color indexed="10"/>
      </x:top>
    </x:border>
    <x:border>
      <x:left style="thin">
        <x:color indexed="10"/>
      </x:left>
      <x:right style="thin">
        <x:color rgb="FFD1D5DB"/>
      </x:right>
      <x:top style="thin">
        <x:color indexed="10"/>
      </x:top>
      <x:bottom style="thin">
        <x:color rgb="FFD1D5DB"/>
      </x:bottom>
    </x:border>
    <x:border>
      <x:left style="thin">
        <x:color rgb="FFD1D5DB"/>
      </x:left>
      <x:right style="thin">
        <x:color rgb="FFD1D5DB"/>
      </x:right>
      <x:top style="thin">
        <x:color indexed="10"/>
      </x:top>
      <x:bottom style="thin">
        <x:color rgb="FFD1D5DB"/>
      </x:bottom>
    </x:border>
    <x:border>
      <x:left style="thin">
        <x:color rgb="FFD1D5DB"/>
      </x:left>
      <x:right style="thin">
        <x:color indexed="10"/>
      </x:right>
      <x:top style="thin">
        <x:color indexed="10"/>
      </x:top>
      <x:bottom style="thin">
        <x:color rgb="FFD1D5DB"/>
      </x:bottom>
    </x:border>
    <x:border>
      <x:left style="thin">
        <x:color indexed="10"/>
      </x:left>
      <x:right style="thin">
        <x:color rgb="FFD1D5DB"/>
      </x:right>
      <x:top style="thin">
        <x:color rgb="FFD1D5DB"/>
      </x:top>
      <x:bottom style="thin">
        <x:color rgb="FFD1D5DB"/>
      </x:bottom>
    </x:border>
    <x:border>
      <x:left style="thin">
        <x:color rgb="FFD1D5DB"/>
      </x:left>
      <x:right style="thin">
        <x:color rgb="FFD1D5DB"/>
      </x:right>
      <x:top style="thin">
        <x:color rgb="FFD1D5DB"/>
      </x:top>
      <x:bottom style="thin">
        <x:color rgb="FFD1D5DB"/>
      </x:bottom>
    </x:border>
    <x:border>
      <x:left style="thin">
        <x:color rgb="FFD1D5DB"/>
      </x:left>
      <x:right style="thin">
        <x:color indexed="10"/>
      </x:right>
      <x:top style="thin">
        <x:color rgb="FFD1D5DB"/>
      </x:top>
      <x:bottom style="thin">
        <x:color rgb="FFD1D5DB"/>
      </x:bottom>
    </x:border>
    <x:border>
      <x:left style="thin">
        <x:color indexed="10"/>
      </x:left>
      <x:right style="thin">
        <x:color rgb="FFD1D5DB"/>
      </x:right>
      <x:top style="thin">
        <x:color rgb="FFD1D5DB"/>
      </x:top>
    </x:border>
    <x:border>
      <x:left style="thin">
        <x:color rgb="FFD1D5DB"/>
      </x:left>
      <x:right style="thin">
        <x:color rgb="FFD1D5DB"/>
      </x:right>
      <x:top style="thin">
        <x:color rgb="FFD1D5DB"/>
      </x:top>
    </x:border>
    <x:border>
      <x:left style="thin">
        <x:color rgb="FFD1D5DB"/>
      </x:left>
      <x:right style="thin">
        <x:color indexed="10"/>
      </x:right>
      <x:top style="thin">
        <x:color rgb="FFD1D5DB"/>
      </x:top>
    </x:border>
    <x:border>
      <x:left style="thin">
        <x:color indexed="9"/>
      </x:left>
      <x:right style="thin">
        <x:color rgb="FFD1D5DB"/>
      </x:right>
      <x:top style="thin">
        <x:color indexed="9"/>
      </x:top>
      <x:bottom style="thin">
        <x:color rgb="FFD1D5DB"/>
      </x:bottom>
    </x:border>
    <x:border>
      <x:left style="thin">
        <x:color rgb="FFD1D5DB"/>
      </x:left>
      <x:right style="thin">
        <x:color rgb="FFD1D5DB"/>
      </x:right>
      <x:top style="thin">
        <x:color indexed="9"/>
      </x:top>
      <x:bottom style="thin">
        <x:color rgb="FFD1D5DB"/>
      </x:bottom>
    </x:border>
    <x:border>
      <x:left style="thin">
        <x:color rgb="FFD1D5DB"/>
      </x:left>
      <x:right style="thin">
        <x:color indexed="9"/>
      </x:right>
      <x:top style="thin">
        <x:color indexed="9"/>
      </x:top>
      <x:bottom style="thin">
        <x:color rgb="FFD1D5DB"/>
      </x:bottom>
    </x:border>
    <x:border>
      <x:left style="thin">
        <x:color indexed="9"/>
      </x:left>
      <x:right style="thin">
        <x:color rgb="FFD1D5DB"/>
      </x:right>
      <x:top style="thin">
        <x:color rgb="FFD1D5DB"/>
      </x:top>
      <x:bottom style="thin">
        <x:color rgb="FFD1D5DB"/>
      </x:bottom>
    </x:border>
    <x:border>
      <x:left style="thin">
        <x:color rgb="FFD1D5DB"/>
      </x:left>
      <x:right style="thin">
        <x:color indexed="9"/>
      </x:right>
      <x:top style="thin">
        <x:color rgb="FFD1D5DB"/>
      </x:top>
      <x:bottom style="thin">
        <x:color rgb="FFD1D5DB"/>
      </x:bottom>
    </x:border>
    <x:border>
      <x:left style="thin">
        <x:color indexed="9"/>
      </x:left>
      <x:right style="thin">
        <x:color rgb="FFD1D5DB"/>
      </x:right>
      <x:top style="thin">
        <x:color rgb="FFD1D5DB"/>
      </x:top>
      <x:bottom style="thin">
        <x:color indexed="9"/>
      </x:bottom>
    </x:border>
    <x:border>
      <x:left style="thin">
        <x:color rgb="FFD1D5DB"/>
      </x:left>
      <x:right style="thin">
        <x:color rgb="FFD1D5DB"/>
      </x:right>
      <x:top style="thin">
        <x:color rgb="FFD1D5DB"/>
      </x:top>
      <x:bottom style="thin">
        <x:color indexed="9"/>
      </x:bottom>
    </x:border>
    <x:border>
      <x:left style="thin">
        <x:color rgb="FFD1D5DB"/>
      </x:left>
      <x:right style="thin">
        <x:color indexed="9"/>
      </x:right>
      <x:top style="thin">
        <x:color rgb="FFD1D5DB"/>
      </x:top>
      <x:bottom style="thin">
        <x:color indexed="9"/>
      </x:bottom>
    </x:border>
    <x:border>
      <x:left style="thin">
        <x:color rgb="FFD1D5DB"/>
      </x:left>
      <x:top style="thin">
        <x:color indexed="9"/>
      </x:top>
      <x:bottom style="thin">
        <x:color rgb="FFD1D5DB"/>
      </x:bottom>
    </x:border>
    <x:border>
      <x:left style="thin">
        <x:color rgb="FFD1D5DB"/>
      </x:left>
      <x:top style="thin">
        <x:color rgb="FFD1D5DB"/>
      </x:top>
      <x:bottom style="thin">
        <x:color rgb="FFD1D5DB"/>
      </x:bottom>
    </x:border>
    <x:border>
      <x:left style="thin">
        <x:color indexed="9"/>
      </x:left>
      <x:right style="thin">
        <x:color rgb="FFD1D5DB"/>
      </x:right>
      <x:top style="thin">
        <x:color rgb="FFD1D5DB"/>
      </x:top>
    </x:border>
    <x:border>
      <x:left style="thin">
        <x:color rgb="FFD1D5DB"/>
      </x:left>
      <x:top style="thin">
        <x:color rgb="FFD1D5DB"/>
      </x:top>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right style="thin">
        <x:color rgb="FFD1D5DB"/>
      </x:right>
      <x:top style="thin">
        <x:color rgb="FFD1D5DB"/>
      </x:top>
    </x:border>
    <x:border>
      <x:top style="thin">
        <x:color rgb="FFD1D5DB"/>
      </x:top>
    </x:border>
    <x:border>
      <x:left style="thin">
        <x:color rgb="FFD1D5DB"/>
      </x:left>
    </x:border>
    <x:border>
      <x:right style="thin">
        <x:color rgb="FFD1D5DB"/>
      </x:right>
    </x:border>
    <x:border>
      <x:bottom style="thin">
        <x:color rgb="FFD1D5DB"/>
      </x:bottom>
    </x:border>
    <x:border>
      <x:left style="thin">
        <x:color rgb="FF000000"/>
      </x:left>
      <x:right style="thin">
        <x:color rgb="FFD1D5DB"/>
      </x:right>
      <x:top style="thin">
        <x:color rgb="FF000000"/>
      </x:top>
      <x:bottom style="thin">
        <x:color rgb="FFD1D5DB"/>
      </x:bottom>
    </x:border>
    <x:border>
      <x:left style="thin">
        <x:color rgb="FFD1D5DB"/>
      </x:left>
      <x:right style="thin">
        <x:color rgb="FFD1D5DB"/>
      </x:right>
      <x:top style="thin">
        <x:color rgb="FF000000"/>
      </x:top>
      <x:bottom style="thin">
        <x:color rgb="FFD1D5DB"/>
      </x:bottom>
    </x:border>
    <x:border>
      <x:left style="thin">
        <x:color rgb="FFD1D5DB"/>
      </x:left>
      <x:right style="thin">
        <x:color rgb="FF000000"/>
      </x:right>
      <x:top style="thin">
        <x:color rgb="FF000000"/>
      </x:top>
      <x:bottom style="thin">
        <x:color rgb="FFD1D5DB"/>
      </x:bottom>
    </x:border>
    <x:border>
      <x:left style="thin">
        <x:color rgb="FF000000"/>
      </x:left>
      <x:right style="thin">
        <x:color rgb="FFD1D5DB"/>
      </x:right>
      <x:top style="thin">
        <x:color rgb="FFD1D5DB"/>
      </x:top>
      <x:bottom style="thin">
        <x:color rgb="FFD1D5DB"/>
      </x:bottom>
    </x:border>
    <x:border>
      <x:left style="thin">
        <x:color rgb="FFD1D5DB"/>
      </x:left>
      <x:right style="thin">
        <x:color rgb="FF000000"/>
      </x:right>
      <x:top style="thin">
        <x:color rgb="FFD1D5DB"/>
      </x:top>
      <x:bottom style="thin">
        <x:color rgb="FFD1D5DB"/>
      </x:bottom>
    </x:border>
    <x:border>
      <x:left style="thin">
        <x:color rgb="FF000000"/>
      </x:left>
      <x:right style="thin">
        <x:color rgb="FFD1D5DB"/>
      </x:right>
      <x:top style="thin">
        <x:color rgb="FFD1D5DB"/>
      </x:top>
      <x:bottom style="thin">
        <x:color rgb="FF000000"/>
      </x:bottom>
    </x:border>
    <x:border>
      <x:left style="thin">
        <x:color rgb="FFD1D5DB"/>
      </x:left>
      <x:right style="thin">
        <x:color rgb="FFD1D5DB"/>
      </x:right>
      <x:top style="thin">
        <x:color rgb="FFD1D5DB"/>
      </x:top>
      <x:bottom style="thin">
        <x:color rgb="FF000000"/>
      </x:bottom>
    </x:border>
    <x:border>
      <x:left style="thin">
        <x:color rgb="FFD1D5DB"/>
      </x:left>
      <x:right style="thin">
        <x:color rgb="FF000000"/>
      </x:right>
      <x:top style="thin">
        <x:color rgb="FFD1D5DB"/>
      </x:top>
      <x:bottom style="thin">
        <x:color rgb="FF000000"/>
      </x:bottom>
    </x:border>
    <x:border>
      <x:left style="thin">
        <x:color indexed="8"/>
      </x:left>
      <x:right style="thin">
        <x:color rgb="FFD1D5DB"/>
      </x:right>
      <x:top style="thin">
        <x:color indexed="8"/>
      </x:top>
      <x:bottom style="thin">
        <x:color rgb="FFD1D5DB"/>
      </x:bottom>
    </x:border>
    <x:border>
      <x:left style="thin">
        <x:color rgb="FFD1D5DB"/>
      </x:left>
      <x:right style="thin">
        <x:color rgb="FFD1D5DB"/>
      </x:right>
      <x:top style="thin">
        <x:color indexed="8"/>
      </x:top>
      <x:bottom style="thin">
        <x:color rgb="FFD1D5DB"/>
      </x:bottom>
    </x:border>
    <x:border>
      <x:left style="thin">
        <x:color rgb="FFD1D5DB"/>
      </x:left>
      <x:right style="thin">
        <x:color indexed="8"/>
      </x:right>
      <x:top style="thin">
        <x:color indexed="8"/>
      </x:top>
      <x:bottom style="thin">
        <x:color rgb="FFD1D5DB"/>
      </x:bottom>
    </x:border>
    <x:border>
      <x:left style="thin">
        <x:color indexed="8"/>
      </x:left>
      <x:right style="thin">
        <x:color rgb="FFD1D5DB"/>
      </x:right>
      <x:top style="thin">
        <x:color rgb="FFD1D5DB"/>
      </x:top>
      <x:bottom style="thin">
        <x:color rgb="FFD1D5DB"/>
      </x:bottom>
    </x:border>
    <x:border>
      <x:left style="thin">
        <x:color rgb="FFD1D5DB"/>
      </x:left>
      <x:right style="thin">
        <x:color indexed="8"/>
      </x:right>
      <x:top style="thin">
        <x:color rgb="FFD1D5DB"/>
      </x:top>
      <x:bottom style="thin">
        <x:color rgb="FFD1D5DB"/>
      </x:bottom>
    </x:border>
    <x:border>
      <x:left style="thin">
        <x:color indexed="8"/>
      </x:left>
      <x:right style="thin">
        <x:color rgb="FFD1D5DB"/>
      </x:right>
      <x:top style="thin">
        <x:color rgb="FFD1D5DB"/>
      </x:top>
      <x:bottom style="thin">
        <x:color indexed="8"/>
      </x:bottom>
    </x:border>
    <x:border>
      <x:left style="thin">
        <x:color rgb="FFD1D5DB"/>
      </x:left>
      <x:right style="thin">
        <x:color rgb="FFD1D5DB"/>
      </x:right>
      <x:top style="thin">
        <x:color rgb="FFD1D5DB"/>
      </x:top>
      <x:bottom style="thin">
        <x:color indexed="8"/>
      </x:bottom>
    </x:border>
    <x:border>
      <x:left style="thin">
        <x:color rgb="FFD1D5DB"/>
      </x:left>
      <x:right style="thin">
        <x:color indexed="8"/>
      </x:right>
      <x:top style="thin">
        <x:color rgb="FFD1D5DB"/>
      </x:top>
      <x:bottom style="thin">
        <x:color indexed="8"/>
      </x:bottom>
    </x:border>
    <x:border>
      <x:left style="thin">
        <x:color indexed="14"/>
      </x:left>
      <x:right style="thin">
        <x:color rgb="FFD1D5DB"/>
      </x:right>
      <x:top style="thin">
        <x:color indexed="14"/>
      </x:top>
      <x:bottom style="thin">
        <x:color rgb="FFD1D5DB"/>
      </x:bottom>
    </x:border>
    <x:border>
      <x:left style="thin">
        <x:color rgb="FFD1D5DB"/>
      </x:left>
      <x:right style="thin">
        <x:color rgb="FFD1D5DB"/>
      </x:right>
      <x:top style="thin">
        <x:color indexed="14"/>
      </x:top>
      <x:bottom style="thin">
        <x:color rgb="FFD1D5DB"/>
      </x:bottom>
    </x:border>
    <x:border>
      <x:left style="thin">
        <x:color rgb="FFD1D5DB"/>
      </x:left>
      <x:top style="thin">
        <x:color indexed="14"/>
      </x:top>
      <x:bottom style="thin">
        <x:color rgb="FFD1D5DB"/>
      </x:bottom>
    </x:border>
    <x:border>
      <x:left style="thin">
        <x:color indexed="14"/>
      </x:left>
      <x:right style="thin">
        <x:color rgb="FFD1D5DB"/>
      </x:right>
      <x:top style="thin">
        <x:color rgb="FFD1D5DB"/>
      </x:top>
      <x:bottom style="thin">
        <x:color rgb="FFD1D5DB"/>
      </x:bottom>
    </x:border>
    <x:border>
      <x:left style="thin">
        <x:color indexed="14"/>
      </x:left>
      <x:right style="thin">
        <x:color rgb="FFD1D5DB"/>
      </x:right>
      <x:top style="thin">
        <x:color rgb="FFD1D5DB"/>
      </x:top>
      <x:bottom style="thin">
        <x:color indexed="14"/>
      </x:bottom>
    </x:border>
    <x:border>
      <x:left style="thin">
        <x:color rgb="FFD1D5DB"/>
      </x:left>
      <x:right style="thin">
        <x:color rgb="FFD1D5DB"/>
      </x:right>
      <x:top style="thin">
        <x:color rgb="FFD1D5DB"/>
      </x:top>
      <x:bottom style="thin">
        <x:color indexed="14"/>
      </x:bottom>
    </x:border>
    <x:border>
      <x:left style="thin">
        <x:color rgb="FFD1D5DB"/>
      </x:left>
      <x:top style="thin">
        <x:color rgb="FFD1D5DB"/>
      </x:top>
      <x:bottom style="thin">
        <x:color indexed="14"/>
      </x:bottom>
    </x:border>
    <x:border>
      <x:left style="thin">
        <x:color indexed="11"/>
      </x:left>
      <x:right style="thin">
        <x:color rgb="FFD1D5DB"/>
      </x:right>
      <x:top style="thin">
        <x:color indexed="11"/>
      </x:top>
      <x:bottom style="thin">
        <x:color rgb="FFD1D5DB"/>
      </x:bottom>
    </x:border>
    <x:border>
      <x:left style="thin">
        <x:color rgb="FFD1D5DB"/>
      </x:left>
      <x:right style="thin">
        <x:color rgb="FFD1D5DB"/>
      </x:right>
      <x:top style="thin">
        <x:color indexed="11"/>
      </x:top>
      <x:bottom style="thin">
        <x:color rgb="FFD1D5DB"/>
      </x:bottom>
    </x:border>
    <x:border>
      <x:left style="thin">
        <x:color rgb="FFD1D5DB"/>
      </x:left>
      <x:top style="thin">
        <x:color indexed="11"/>
      </x:top>
      <x:bottom style="thin">
        <x:color rgb="FFD1D5DB"/>
      </x:bottom>
    </x:border>
    <x:border>
      <x:left style="thin">
        <x:color indexed="11"/>
      </x:left>
      <x:right style="thin">
        <x:color rgb="FFD1D5DB"/>
      </x:right>
      <x:top style="thin">
        <x:color rgb="FFD1D5DB"/>
      </x:top>
      <x:bottom style="thin">
        <x:color rgb="FFD1D5DB"/>
      </x:bottom>
    </x:border>
    <x:border>
      <x:left style="thin">
        <x:color indexed="11"/>
      </x:left>
      <x:right style="thin">
        <x:color rgb="FFD1D5DB"/>
      </x:right>
      <x:top style="thin">
        <x:color rgb="FFD1D5DB"/>
      </x:top>
    </x:border>
    <x:border>
      <x:left style="thin">
        <x:color rgb="FFD1D5DB"/>
      </x:left>
      <x:right style="thin">
        <x:color rgb="FFD1D5DB"/>
      </x:right>
      <x:bottom style="thin">
        <x:color rgb="FFD1D5DB"/>
      </x:bottom>
    </x:border>
  </x:borders>
  <x:cellStyleXfs count="1">
    <x:xf numFmtId="0" fontId="0" fillId="0" borderId="0" applyNumberFormat="0" applyFill="0" applyBorder="0" applyProtection="0"/>
  </x:cellStyleXfs>
  <x:cellXfs count="2826">
    <x:xf numFmtId="0" fontId="0" fillId="0" borderId="0" xfId="0" applyFont="1" applyAlignment="1"/>
    <x:xf numFmtId="0" fontId="0" fillId="0" borderId="1" xfId="0" applyFont="1" applyBorder="1" applyAlignment="1"/>
    <x:xf numFmtId="0" fontId="0" fillId="0" borderId="4" xfId="0" applyFont="1" applyBorder="1" applyAlignment="1"/>
    <x:xf numFmtId="0" fontId="0" fillId="0" borderId="5" xfId="0" applyFont="1" applyBorder="1" applyAlignment="1"/>
    <x:xf numFmtId="0" fontId="0" fillId="0" borderId="0" xfId="0" applyNumberFormat="1" applyFont="1" applyAlignment="1"/>
    <x:xf numFmtId="49" fontId="0" fillId="0" borderId="2" xfId="0" applyNumberFormat="1" applyFont="1" applyBorder="1" applyAlignment="1"/>
    <x:xf numFmtId="49" fontId="1" fillId="0" borderId="2" xfId="0" applyNumberFormat="1" applyFont="1" applyBorder="1" applyAlignment="1"/>
    <x:xf numFmtId="0" fontId="0" fillId="0" borderId="0" xfId="0" applyNumberFormat="1" applyFont="1" applyAlignment="1"/>
    <x:xf numFmtId="49" fontId="4" fillId="3" borderId="11" xfId="0" applyNumberFormat="1" applyFont="1" applyFill="1" applyBorder="1" applyAlignment="1">
      <x:alignment horizontal="center" vertical="center" wrapText="1"/>
    </x:xf>
    <x:xf numFmtId="49" fontId="4" fillId="3" borderId="12" xfId="0" applyNumberFormat="1" applyFont="1" applyFill="1" applyBorder="1" applyAlignment="1">
      <x:alignment horizontal="center" vertical="center" wrapText="1"/>
    </x:xf>
    <x:xf numFmtId="49" fontId="4" fillId="3" borderId="13" xfId="0" applyNumberFormat="1" applyFont="1" applyFill="1" applyBorder="1" applyAlignment="1">
      <x:alignment horizontal="center" vertical="center" wrapText="1"/>
    </x:xf>
    <x:xf numFmtId="0" fontId="0" fillId="0" borderId="14" xfId="0" applyFont="1" applyBorder="1" applyAlignment="1"/>
    <x:xf numFmtId="49" fontId="5" fillId="5" borderId="11" xfId="0" applyNumberFormat="1" applyFont="1" applyFill="1" applyBorder="1" applyAlignment="1">
      <x:alignment horizontal="left" vertical="top" wrapText="1"/>
    </x:xf>
    <x:xf numFmtId="49" fontId="5" fillId="5" borderId="12" xfId="0" applyNumberFormat="1" applyFont="1" applyFill="1" applyBorder="1" applyAlignment="1">
      <x:alignment horizontal="left" vertical="top" wrapText="1"/>
    </x:xf>
    <x:xf numFmtId="49" fontId="5" fillId="5" borderId="13" xfId="0" applyNumberFormat="1" applyFont="1" applyFill="1" applyBorder="1" applyAlignment="1">
      <x:alignment horizontal="left" vertical="top" wrapText="1"/>
    </x:xf>
    <x:xf numFmtId="49" fontId="5" fillId="2" borderId="15" xfId="0" applyNumberFormat="1" applyFont="1" applyFill="1" applyBorder="1" applyAlignment="1">
      <x:alignment horizontal="left" vertical="top" wrapText="1"/>
    </x:xf>
    <x:xf numFmtId="49" fontId="5" fillId="2" borderId="16" xfId="0" applyNumberFormat="1" applyFont="1" applyFill="1" applyBorder="1" applyAlignment="1">
      <x:alignment horizontal="left" vertical="top" wrapText="1"/>
    </x:xf>
    <x:xf numFmtId="49" fontId="5" fillId="2" borderId="17" xfId="0" applyNumberFormat="1" applyFont="1" applyFill="1" applyBorder="1" applyAlignment="1">
      <x:alignment horizontal="left" vertical="top" wrapText="1"/>
    </x:xf>
    <x:xf numFmtId="0" fontId="0" fillId="0" borderId="18" xfId="0" applyFont="1" applyBorder="1" applyAlignment="1"/>
    <x:xf numFmtId="0" fontId="0" fillId="0" borderId="0" xfId="0" applyNumberFormat="1" applyFont="1" applyAlignment="1"/>
    <x:xf numFmtId="49" fontId="5" fillId="5" borderId="11" xfId="0" applyNumberFormat="1" applyFont="1" applyFill="1" applyBorder="1" applyAlignment="1">
      <x:alignment horizontal="center" vertical="center"/>
    </x:xf>
    <x:xf numFmtId="49" fontId="5" fillId="5" borderId="12" xfId="0" applyNumberFormat="1" applyFont="1" applyFill="1" applyBorder="1" applyAlignment="1">
      <x:alignment horizontal="center" vertical="center"/>
    </x:xf>
    <x:xf numFmtId="49" fontId="5" fillId="5" borderId="12" xfId="0" applyNumberFormat="1" applyFont="1" applyFill="1" applyBorder="1" applyAlignment="1">
      <x:alignment horizontal="left" vertical="center" wrapText="1"/>
    </x:xf>
    <x:xf numFmtId="49" fontId="5" fillId="5" borderId="12" xfId="0" applyNumberFormat="1" applyFont="1" applyFill="1" applyBorder="1" applyAlignment="1">
      <x:alignment vertical="center"/>
    </x:xf>
    <x:xf numFmtId="164" fontId="5" fillId="5" borderId="12" xfId="0" applyNumberFormat="1" applyFont="1" applyFill="1" applyBorder="1" applyAlignment="1">
      <x:alignment horizontal="center" vertical="center"/>
    </x:xf>
    <x:xf numFmtId="0" fontId="5" fillId="5" borderId="12" xfId="0" applyNumberFormat="1" applyFont="1" applyFill="1" applyBorder="1" applyAlignment="1">
      <x:alignment horizontal="center" vertical="center"/>
    </x:xf>
    <x:xf numFmtId="49" fontId="5" fillId="5" borderId="13" xfId="0" applyNumberFormat="1" applyFont="1" applyFill="1" applyBorder="1" applyAlignment="1">
      <x:alignment horizontal="left" vertical="center" wrapText="1"/>
    </x:xf>
    <x:xf numFmtId="49" fontId="5" fillId="2" borderId="15" xfId="0" applyNumberFormat="1" applyFont="1" applyFill="1" applyBorder="1" applyAlignment="1">
      <x:alignment horizontal="center" vertical="center"/>
    </x:xf>
    <x:xf numFmtId="49" fontId="5" fillId="2" borderId="16" xfId="0" applyNumberFormat="1" applyFont="1" applyFill="1" applyBorder="1" applyAlignment="1">
      <x:alignment horizontal="center" vertical="center"/>
    </x:xf>
    <x:xf numFmtId="49" fontId="5" fillId="2" borderId="16" xfId="0" applyNumberFormat="1" applyFont="1" applyFill="1" applyBorder="1" applyAlignment="1">
      <x:alignment horizontal="left" vertical="center" wrapText="1"/>
    </x:xf>
    <x:xf numFmtId="49" fontId="5" fillId="2" borderId="16" xfId="0" applyNumberFormat="1" applyFont="1" applyFill="1" applyBorder="1" applyAlignment="1">
      <x:alignment vertical="center"/>
    </x:xf>
    <x:xf numFmtId="164" fontId="5" fillId="2" borderId="16" xfId="0" applyNumberFormat="1" applyFont="1" applyFill="1" applyBorder="1" applyAlignment="1">
      <x:alignment horizontal="center" vertical="center"/>
    </x:xf>
    <x:xf numFmtId="0" fontId="5" fillId="2" borderId="16" xfId="0" applyNumberFormat="1" applyFont="1" applyFill="1" applyBorder="1" applyAlignment="1">
      <x:alignment horizontal="center" vertical="center"/>
    </x:xf>
    <x:xf numFmtId="49" fontId="5" fillId="2" borderId="17" xfId="0" applyNumberFormat="1" applyFont="1" applyFill="1" applyBorder="1" applyAlignment="1">
      <x:alignment horizontal="left" vertical="center" wrapText="1"/>
    </x:xf>
    <x:xf numFmtId="0" fontId="0" fillId="0" borderId="0" xfId="0" applyNumberFormat="1" applyFont="1" applyAlignment="1"/>
    <x:xf numFmtId="49" fontId="5" fillId="5" borderId="11" xfId="0" applyNumberFormat="1" applyFont="1" applyFill="1" applyBorder="1" applyAlignment="1">
      <x:alignment horizontal="center" vertical="top" wrapText="1"/>
    </x:xf>
    <x:xf numFmtId="49" fontId="5" fillId="5" borderId="12" xfId="0" applyNumberFormat="1" applyFont="1" applyFill="1" applyBorder="1" applyAlignment="1">
      <x:alignment horizontal="center" vertical="top" wrapText="1"/>
    </x:xf>
    <x:xf numFmtId="49" fontId="5" fillId="2" borderId="15" xfId="0" applyNumberFormat="1" applyFont="1" applyFill="1" applyBorder="1" applyAlignment="1">
      <x:alignment horizontal="center" vertical="top" wrapText="1"/>
    </x:xf>
    <x:xf numFmtId="49" fontId="5" fillId="2" borderId="16" xfId="0" applyNumberFormat="1" applyFont="1" applyFill="1" applyBorder="1" applyAlignment="1">
      <x:alignment horizontal="center" vertical="top" wrapText="1"/>
    </x:xf>
    <x:xf numFmtId="0" fontId="0" fillId="0" borderId="0" xfId="0" applyNumberFormat="1" applyFont="1" applyAlignment="1"/>
    <x:xf numFmtId="0" fontId="8" fillId="2" borderId="21" xfId="0" applyFont="1" applyFill="1" applyBorder="1" applyAlignment="1">
      <x:alignment vertical="top" wrapText="1"/>
    </x:xf>
    <x:xf numFmtId="49" fontId="9" fillId="3" borderId="22" xfId="0" applyNumberFormat="1" applyFont="1" applyFill="1" applyBorder="1" applyAlignment="1">
      <x:alignment vertical="top" wrapText="1"/>
    </x:xf>
    <x:xf numFmtId="0" fontId="0" fillId="0" borderId="23" xfId="0" applyFont="1" applyBorder="1" applyAlignment="1"/>
    <x:xf numFmtId="49" fontId="8" fillId="7" borderId="24" xfId="0" applyNumberFormat="1" applyFont="1" applyFill="1" applyBorder="1" applyAlignment="1">
      <x:alignment vertical="top" wrapText="1"/>
    </x:xf>
    <x:xf numFmtId="49" fontId="8" fillId="7" borderId="25" xfId="0" applyNumberFormat="1" applyFont="1" applyFill="1" applyBorder="1" applyAlignment="1">
      <x:alignment vertical="top" wrapText="1"/>
    </x:xf>
    <x:xf numFmtId="0" fontId="8" fillId="7" borderId="25" xfId="0" applyFont="1" applyFill="1" applyBorder="1" applyAlignment="1">
      <x:alignment vertical="top" wrapText="1"/>
    </x:xf>
    <x:xf numFmtId="49" fontId="8" fillId="2" borderId="26" xfId="0" applyNumberFormat="1" applyFont="1" applyFill="1" applyBorder="1" applyAlignment="1">
      <x:alignment vertical="top" wrapText="1"/>
    </x:xf>
    <x:xf numFmtId="0" fontId="8" fillId="2" borderId="26" xfId="0" applyFont="1" applyFill="1" applyBorder="1" applyAlignment="1">
      <x:alignment vertical="top" wrapText="1"/>
    </x:xf>
    <x:xf numFmtId="49" fontId="8" fillId="7" borderId="27" xfId="0" applyNumberFormat="1" applyFont="1" applyFill="1" applyBorder="1" applyAlignment="1">
      <x:alignment vertical="top" wrapText="1"/>
    </x:xf>
    <x:xf numFmtId="49" fontId="8" fillId="7" borderId="28" xfId="0" applyNumberFormat="1" applyFont="1" applyFill="1" applyBorder="1" applyAlignment="1">
      <x:alignment vertical="top" wrapText="1"/>
    </x:xf>
    <x:xf numFmtId="0" fontId="8" fillId="7" borderId="28" xfId="0" applyFont="1" applyFill="1" applyBorder="1" applyAlignment="1">
      <x:alignment vertical="top" wrapText="1"/>
    </x:xf>
    <x:xf numFmtId="0" fontId="8" fillId="2" borderId="29" xfId="0" applyFont="1" applyFill="1" applyBorder="1" applyAlignment="1">
      <x:alignment vertical="top" wrapText="1"/>
    </x:xf>
    <x:xf numFmtId="0" fontId="8" fillId="7" borderId="30" xfId="0" applyFont="1" applyFill="1" applyBorder="1" applyAlignment="1">
      <x:alignment vertical="top" wrapText="1"/>
    </x:xf>
    <x:xf numFmtId="0" fontId="8" fillId="7" borderId="31" xfId="0" applyFont="1" applyFill="1" applyBorder="1" applyAlignment="1">
      <x:alignment vertical="top" wrapText="1"/>
    </x:xf>
    <x:xf numFmtId="0" fontId="8" fillId="2" borderId="32" xfId="0" applyFont="1" applyFill="1" applyBorder="1" applyAlignment="1">
      <x:alignment vertical="top" wrapText="1"/>
    </x:xf>
    <x:xf numFmtId="0" fontId="8" fillId="2" borderId="5" xfId="0" applyFont="1" applyFill="1" applyBorder="1" applyAlignment="1">
      <x:alignment vertical="top" wrapText="1"/>
    </x:xf>
    <x:xf numFmtId="0" fontId="8" fillId="2" borderId="23" xfId="0" applyFont="1" applyFill="1" applyBorder="1" applyAlignment="1">
      <x:alignment vertical="top" wrapText="1"/>
    </x:xf>
    <x:xf numFmtId="0" fontId="8" fillId="2" borderId="2" xfId="0" applyFont="1" applyFill="1" applyBorder="1" applyAlignment="1">
      <x:alignment vertical="top" wrapText="1"/>
    </x:xf>
    <x:xf numFmtId="49" fontId="8" fillId="2" borderId="35" xfId="0" applyNumberFormat="1" applyFont="1" applyFill="1" applyBorder="1" applyAlignment="1">
      <x:alignment vertical="top" wrapText="1"/>
    </x:xf>
    <x:xf numFmtId="0" fontId="8" fillId="2" borderId="35" xfId="0" applyNumberFormat="1" applyFont="1" applyFill="1" applyBorder="1" applyAlignment="1">
      <x:alignment vertical="top" wrapText="1"/>
    </x:xf>
    <x:xf numFmtId="0" fontId="8" fillId="2" borderId="26" xfId="0" applyNumberFormat="1" applyFont="1" applyFill="1" applyBorder="1" applyAlignment="1">
      <x:alignment vertical="top" wrapText="1"/>
    </x:xf>
    <x:xf numFmtId="0" fontId="0" fillId="0" borderId="0" xfId="0" applyNumberFormat="1" applyFont="1" applyAlignment="1"/>
    <x:xf numFmtId="49" fontId="10" fillId="9" borderId="3" xfId="0" applyNumberFormat="1" applyFont="1" applyFill="1" applyBorder="1" applyAlignment="1">
      <x:alignment vertical="center"/>
    </x:xf>
    <x:xf numFmtId="49" fontId="1" fillId="9" borderId="3" xfId="0" applyNumberFormat="1" applyFont="1" applyFill="1" applyBorder="1" applyAlignment="1">
      <x:alignment horizontal="center" vertical="center" wrapText="1"/>
    </x:xf>
    <x:xf numFmtId="49" fontId="11" fillId="9" borderId="36" xfId="0" applyNumberFormat="1" applyFont="1" applyFill="1" applyBorder="1" applyAlignment="1">
      <x:alignment horizontal="center" vertical="center" wrapText="1"/>
    </x:xf>
    <x:xf numFmtId="0" fontId="12" fillId="9" borderId="3" xfId="0" applyFont="1" applyFill="1" applyBorder="1" applyAlignment="1">
      <x:alignment horizontal="center" vertical="center"/>
    </x:xf>
    <x:xf numFmtId="49" fontId="0" fillId="2" borderId="3" xfId="0" applyNumberFormat="1" applyFont="1" applyFill="1" applyBorder="1" applyAlignment="1">
      <x:alignment horizontal="left" vertical="center"/>
    </x:xf>
    <x:xf numFmtId="0" fontId="0" fillId="10" borderId="3" xfId="0" applyNumberFormat="1" applyFont="1" applyFill="1" applyBorder="1" applyAlignment="1">
      <x:alignment horizontal="center" vertical="center" wrapText="1"/>
    </x:xf>
    <x:xf numFmtId="0" fontId="13" fillId="11" borderId="3" xfId="0" applyNumberFormat="1" applyFont="1" applyFill="1" applyBorder="1" applyAlignment="1">
      <x:alignment horizontal="center"/>
    </x:xf>
    <x:xf numFmtId="0" fontId="12" fillId="11" borderId="3" xfId="0" applyNumberFormat="1" applyFont="1" applyFill="1" applyBorder="1" applyAlignment="1">
      <x:alignment horizontal="center" vertical="center"/>
    </x:xf>
    <x:xf numFmtId="49" fontId="1" fillId="12" borderId="3" xfId="0" applyNumberFormat="1" applyFont="1" applyFill="1" applyBorder="1" applyAlignment="1">
      <x:alignment horizontal="left" vertical="center"/>
    </x:xf>
    <x:xf numFmtId="0" fontId="1" fillId="12" borderId="3" xfId="0" applyNumberFormat="1" applyFont="1" applyFill="1" applyBorder="1" applyAlignment="1">
      <x:alignment horizontal="center" vertical="center" wrapText="1"/>
    </x:xf>
    <x:xf numFmtId="0" fontId="14" fillId="13" borderId="3" xfId="0" applyNumberFormat="1" applyFont="1" applyFill="1" applyBorder="1" applyAlignment="1">
      <x:alignment horizontal="center" vertical="center" wrapText="1"/>
    </x:xf>
    <x:xf numFmtId="0" fontId="15" fillId="5" borderId="3" xfId="0" applyFont="1" applyFill="1" applyBorder="1" applyAlignment="1">
      <x:alignment horizontal="center" vertical="center"/>
    </x:xf>
    <x:xf numFmtId="0" fontId="0" fillId="14" borderId="3" xfId="0" applyNumberFormat="1" applyFont="1" applyFill="1" applyBorder="1" applyAlignment="1">
      <x:alignment horizontal="center" vertical="center"/>
    </x:xf>
    <x:xf numFmtId="0" fontId="0" fillId="0" borderId="40" xfId="0" applyFont="1" applyBorder="1" applyAlignment="1"/>
    <x:xf numFmtId="0" fontId="14" fillId="13" borderId="41" xfId="0" applyNumberFormat="1" applyFont="1" applyFill="1" applyBorder="1" applyAlignment="1">
      <x:alignment horizontal="center" vertical="center" wrapText="1"/>
    </x:xf>
    <x:xf numFmtId="49" fontId="16" fillId="2" borderId="5" xfId="0" applyNumberFormat="1" applyFont="1" applyFill="1" applyBorder="1" applyAlignment="1">
      <x:alignment vertical="center"/>
    </x:xf>
    <x:xf numFmtId="3" fontId="1" fillId="2" borderId="5" xfId="0" applyNumberFormat="1" applyFont="1" applyFill="1" applyBorder="1" applyAlignment="1">
      <x:alignment horizontal="center" vertical="center" wrapText="1"/>
    </x:xf>
    <x:xf numFmtId="49" fontId="16" fillId="2" borderId="2" xfId="0" applyNumberFormat="1" applyFont="1" applyFill="1" applyBorder="1" applyAlignment="1">
      <x:alignment vertical="center"/>
    </x:xf>
    <x:xf numFmtId="3" fontId="1" fillId="2" borderId="2" xfId="0" applyNumberFormat="1" applyFont="1" applyFill="1" applyBorder="1" applyAlignment="1">
      <x:alignment horizontal="center" vertical="center" wrapText="1"/>
    </x:xf>
    <x:xf numFmtId="49" fontId="17" fillId="2" borderId="2" xfId="0" applyNumberFormat="1" applyFont="1" applyFill="1" applyBorder="1" applyAlignment="1">
      <x:alignment wrapText="1"/>
    </x:xf>
    <x:xf numFmtId="0" fontId="17" fillId="2" borderId="2" xfId="0" applyFont="1" applyFill="1" applyBorder="1" applyAlignment="1">
      <x:alignment wrapText="1"/>
    </x:xf>
    <x:xf numFmtId="0" fontId="18" fillId="2" borderId="1" xfId="0" applyFont="1" applyFill="1" applyBorder="1" applyAlignment="1">
      <x:alignment vertical="center"/>
    </x:xf>
    <x:xf numFmtId="3" fontId="1" fillId="2" borderId="1" xfId="0" applyNumberFormat="1" applyFont="1" applyFill="1" applyBorder="1" applyAlignment="1">
      <x:alignment horizontal="center" vertical="center" wrapText="1"/>
    </x:xf>
    <x:xf numFmtId="49" fontId="10" fillId="9" borderId="3" xfId="0" applyNumberFormat="1" applyFont="1" applyFill="1" applyBorder="1" applyAlignment="1">
      <x:alignment horizontal="center" vertical="center" wrapText="1"/>
    </x:xf>
    <x:xf numFmtId="49" fontId="15" fillId="9" borderId="3" xfId="0" applyNumberFormat="1" applyFont="1" applyFill="1" applyBorder="1" applyAlignment="1">
      <x:alignment horizontal="center" vertical="center" wrapText="1"/>
    </x:xf>
    <x:xf numFmtId="0" fontId="14" fillId="12" borderId="41" xfId="0" applyNumberFormat="1" applyFont="1" applyFill="1" applyBorder="1" applyAlignment="1">
      <x:alignment horizontal="center" vertical="center" wrapText="1"/>
    </x:xf>
    <x:xf numFmtId="0" fontId="0" fillId="0" borderId="5" xfId="0" applyFont="1" applyBorder="1" applyAlignment="1">
      <x:alignment horizontal="center"/>
    </x:xf>
    <x:xf numFmtId="0" fontId="12" fillId="2" borderId="20" xfId="0" applyFont="1" applyFill="1" applyBorder="1" applyAlignment="1">
      <x:alignment horizontal="center" vertical="center"/>
    </x:xf>
    <x:xf numFmtId="0" fontId="0" fillId="0" borderId="2" xfId="0" applyFont="1" applyBorder="1" applyAlignment="1">
      <x:alignment horizontal="center"/>
    </x:xf>
    <x:xf numFmtId="0" fontId="12" fillId="2" borderId="2" xfId="0" applyFont="1" applyFill="1" applyBorder="1" applyAlignment="1">
      <x:alignment horizontal="center" vertical="center"/>
    </x:xf>
    <x:xf numFmtId="0" fontId="17" fillId="2" borderId="2" xfId="0" applyFont="1" applyFill="1" applyBorder="1" applyAlignment="1">
      <x:alignment vertical="center"/>
    </x:xf>
    <x:xf numFmtId="0" fontId="0" fillId="0" borderId="1" xfId="0" applyFont="1" applyBorder="1" applyAlignment="1">
      <x:alignment horizontal="center"/>
    </x:xf>
    <x:xf numFmtId="49" fontId="0" fillId="2" borderId="3" xfId="0" applyNumberFormat="1" applyFont="1" applyFill="1" applyBorder="1" applyAlignment="1">
      <x:alignment vertical="center"/>
    </x:xf>
    <x:xf numFmtId="49" fontId="1" fillId="12" borderId="3" xfId="0" applyNumberFormat="1" applyFont="1" applyFill="1" applyBorder="1" applyAlignment="1">
      <x:alignment vertical="center"/>
    </x:xf>
    <x:xf numFmtId="0" fontId="0" fillId="0" borderId="0" xfId="0" applyNumberFormat="1" applyFont="1" applyAlignment="1"/>
    <x:xf numFmtId="164" fontId="5" fillId="5" borderId="11" xfId="0" applyNumberFormat="1" applyFont="1" applyFill="1" applyBorder="1" applyAlignment="1">
      <x:alignment horizontal="center" vertical="center"/>
    </x:xf>
    <x:xf numFmtId="164" fontId="5" fillId="2" borderId="15" xfId="0" applyNumberFormat="1" applyFont="1" applyFill="1" applyBorder="1" applyAlignment="1">
      <x:alignment horizontal="center" vertical="center"/>
    </x:xf>
    <x:xf numFmtId="0" fontId="0" fillId="0" borderId="0" xfId="0" applyNumberFormat="1" applyFont="1" applyAlignment="1"/>
    <x:xf numFmtId="0" fontId="19" fillId="3" borderId="7" xfId="0" applyFont="1" applyFill="1" applyBorder="1" applyAlignment="1">
      <x:alignment horizontal="center"/>
    </x:xf>
    <x:xf numFmtId="0" fontId="19" fillId="3" borderId="7" xfId="0" applyFont="1" applyFill="1" applyBorder="1" applyAlignment="1"/>
    <x:xf numFmtId="49" fontId="20" fillId="3" borderId="7" xfId="0" applyNumberFormat="1" applyFont="1" applyFill="1" applyBorder="1" applyAlignment="1"/>
    <x:xf numFmtId="49" fontId="0" fillId="0" borderId="42" xfId="0" applyNumberFormat="1" applyFont="1" applyBorder="1" applyAlignment="1"/>
    <x:xf numFmtId="0" fontId="12" fillId="0" borderId="42" xfId="0" applyFont="1" applyBorder="1" applyAlignment="1"/>
    <x:xf numFmtId="0" fontId="12" fillId="0" borderId="20" xfId="0" applyFont="1" applyBorder="1" applyAlignment="1"/>
    <x:xf numFmtId="49" fontId="21" fillId="9" borderId="41" xfId="0" applyNumberFormat="1" applyFont="1" applyFill="1" applyBorder="1" applyAlignment="1">
      <x:alignment horizontal="left" vertical="center"/>
    </x:xf>
    <x:xf numFmtId="0" fontId="12" fillId="0" borderId="4" xfId="0" applyFont="1" applyBorder="1" applyAlignment="1"/>
    <x:xf numFmtId="0" fontId="12" fillId="0" borderId="1" xfId="0" applyFont="1" applyBorder="1" applyAlignment="1"/>
    <x:xf numFmtId="49" fontId="14" fillId="9" borderId="3" xfId="0" applyNumberFormat="1" applyFont="1" applyFill="1" applyBorder="1" applyAlignment="1">
      <x:alignment horizontal="center" vertical="center" wrapText="1"/>
    </x:xf>
    <x:xf numFmtId="0" fontId="12" fillId="0" borderId="44" xfId="0" applyFont="1" applyBorder="1" applyAlignment="1"/>
    <x:xf numFmtId="49" fontId="12" fillId="2" borderId="3" xfId="0" applyNumberFormat="1" applyFont="1" applyFill="1" applyBorder="1" applyAlignment="1">
      <x:alignment vertical="center"/>
    </x:xf>
    <x:xf numFmtId="3" fontId="12" fillId="14" borderId="3" xfId="0" applyNumberFormat="1" applyFont="1" applyFill="1" applyBorder="1" applyAlignment="1">
      <x:alignment horizontal="center" vertical="center"/>
    </x:xf>
    <x:xf numFmtId="9" fontId="12" fillId="7" borderId="3" xfId="0" applyNumberFormat="1" applyFont="1" applyFill="1" applyBorder="1" applyAlignment="1">
      <x:alignment horizontal="center" vertical="center"/>
    </x:xf>
    <x:xf numFmtId="0" fontId="12" fillId="14" borderId="3" xfId="0" applyNumberFormat="1" applyFont="1" applyFill="1" applyBorder="1" applyAlignment="1">
      <x:alignment horizontal="center" vertical="center"/>
    </x:xf>
    <x:xf numFmtId="49" fontId="15" fillId="12" borderId="3" xfId="0" applyNumberFormat="1" applyFont="1" applyFill="1" applyBorder="1" applyAlignment="1">
      <x:alignment horizontal="center" vertical="center"/>
    </x:xf>
    <x:xf numFmtId="3" fontId="15" fillId="12" borderId="3" xfId="0" applyNumberFormat="1" applyFont="1" applyFill="1" applyBorder="1" applyAlignment="1">
      <x:alignment horizontal="center" vertical="center"/>
    </x:xf>
    <x:xf numFmtId="9" fontId="14" fillId="12" borderId="3" xfId="0" applyNumberFormat="1" applyFont="1" applyFill="1" applyBorder="1" applyAlignment="1">
      <x:alignment horizontal="center" vertical="center"/>
    </x:xf>
    <x:xf numFmtId="49" fontId="22" fillId="2" borderId="5" xfId="0" applyNumberFormat="1" applyFont="1" applyFill="1" applyBorder="1" applyAlignment="1">
      <x:alignment vertical="center"/>
    </x:xf>
    <x:xf numFmtId="0" fontId="12" fillId="0" borderId="5" xfId="0" applyFont="1" applyBorder="1" applyAlignment="1"/>
    <x:xf numFmtId="0" fontId="23" fillId="2" borderId="5" xfId="0" applyFont="1" applyFill="1" applyBorder="1" applyAlignment="1">
      <x:alignment vertical="center" wrapText="1"/>
    </x:xf>
    <x:xf numFmtId="0" fontId="12" fillId="0" borderId="2" xfId="0" applyFont="1" applyBorder="1" applyAlignment="1"/>
    <x:xf numFmtId="49" fontId="15" fillId="9" borderId="3" xfId="0" applyNumberFormat="1" applyFont="1" applyFill="1" applyBorder="1" applyAlignment="1">
      <x:alignment vertical="center"/>
    </x:xf>
    <x:xf numFmtId="49" fontId="12" fillId="2" borderId="3" xfId="0" applyNumberFormat="1" applyFont="1" applyFill="1" applyBorder="1" applyAlignment="1">
      <x:alignment horizontal="left" vertical="center"/>
    </x:xf>
    <x:xf numFmtId="165" fontId="12" fillId="14" borderId="3" xfId="0" applyNumberFormat="1" applyFont="1" applyFill="1" applyBorder="1" applyAlignment="1">
      <x:alignment horizontal="center" vertical="center"/>
    </x:xf>
    <x:xf numFmtId="49" fontId="24" fillId="2" borderId="2" xfId="0" applyNumberFormat="1" applyFont="1" applyFill="1" applyBorder="1" applyAlignment="1">
      <x:alignment wrapText="1"/>
    </x:xf>
    <x:xf numFmtId="0" fontId="25" fillId="2" borderId="2" xfId="0" applyFont="1" applyFill="1" applyBorder="1" applyAlignment="1">
      <x:alignment vertical="center"/>
    </x:xf>
    <x:xf numFmtId="0" fontId="26" fillId="2" borderId="1" xfId="0" applyFont="1" applyFill="1" applyBorder="1" applyAlignment="1">
      <x:alignment vertical="center"/>
    </x:xf>
    <x:xf numFmtId="49" fontId="15" fillId="9" borderId="3" xfId="0" applyNumberFormat="1" applyFont="1" applyFill="1" applyBorder="1" applyAlignment="1">
      <x:alignment vertical="center" wrapText="1"/>
    </x:xf>
    <x:xf numFmtId="0" fontId="16" fillId="2" borderId="2" xfId="0" applyFont="1" applyFill="1" applyBorder="1" applyAlignment="1">
      <x:alignment vertical="center"/>
    </x:xf>
    <x:xf numFmtId="0" fontId="26" fillId="2" borderId="2" xfId="0" applyFont="1" applyFill="1" applyBorder="1" applyAlignment="1">
      <x:alignment vertical="center" wrapText="1"/>
    </x:xf>
    <x:xf numFmtId="0" fontId="16" fillId="2" borderId="1" xfId="0" applyFont="1" applyFill="1" applyBorder="1" applyAlignment="1">
      <x:alignment vertical="center"/>
    </x:xf>
    <x:xf numFmtId="49" fontId="12" fillId="2" borderId="3" xfId="0" applyNumberFormat="1" applyFont="1" applyFill="1" applyBorder="1" applyAlignment="1">
      <x:alignment vertical="center" wrapText="1"/>
    </x:xf>
    <x:xf numFmtId="49" fontId="14" fillId="12" borderId="3" xfId="0" applyNumberFormat="1" applyFont="1" applyFill="1" applyBorder="1" applyAlignment="1">
      <x:alignment horizontal="center" vertical="center"/>
    </x:xf>
    <x:xf numFmtId="0" fontId="14" fillId="12" borderId="3" xfId="0" applyNumberFormat="1" applyFont="1" applyFill="1" applyBorder="1" applyAlignment="1">
      <x:alignment horizontal="center" vertical="center"/>
    </x:xf>
    <x:xf numFmtId="0" fontId="16" fillId="0" borderId="45" xfId="0" applyFont="1" applyBorder="1" applyAlignment="1"/>
    <x:xf numFmtId="0" fontId="12" fillId="0" borderId="45" xfId="0" applyFont="1" applyBorder="1" applyAlignment="1"/>
    <x:xf numFmtId="0" fontId="0" fillId="0" borderId="45" xfId="0" applyFont="1" applyBorder="1" applyAlignment="1"/>
    <x:xf numFmtId="49" fontId="2" fillId="3" borderId="19" xfId="0" applyNumberFormat="1" applyFont="1" applyFill="1" applyBorder="1" applyAlignment="1">
      <x:alignment horizontal="left" vertical="center"/>
    </x:xf>
    <x:xf numFmtId="0" fontId="12" fillId="3" borderId="46" xfId="0" applyFont="1" applyFill="1" applyBorder="1" applyAlignment="1">
      <x:alignment horizontal="center"/>
    </x:xf>
    <x:xf numFmtId="0" fontId="12" fillId="3" borderId="46" xfId="0" applyFont="1" applyFill="1" applyBorder="1" applyAlignment="1"/>
    <x:xf numFmtId="49" fontId="20" fillId="3" borderId="46" xfId="0" applyNumberFormat="1" applyFont="1" applyFill="1" applyBorder="1" applyAlignment="1"/>
    <x:xf numFmtId="0" fontId="12" fillId="3" borderId="47" xfId="0" applyFont="1" applyFill="1" applyBorder="1" applyAlignment="1"/>
    <x:xf numFmtId="0" fontId="14" fillId="2" borderId="42" xfId="0" applyFont="1" applyFill="1" applyBorder="1" applyAlignment="1">
      <x:alignment vertical="center"/>
    </x:xf>
    <x:xf numFmtId="0" fontId="12" fillId="0" borderId="48" xfId="0" applyFont="1" applyBorder="1" applyAlignment="1"/>
    <x:xf numFmtId="3" fontId="12" fillId="7" borderId="3" xfId="0" applyNumberFormat="1" applyFont="1" applyFill="1" applyBorder="1" applyAlignment="1">
      <x:alignment horizontal="center" vertical="center"/>
    </x:xf>
    <x:xf numFmtId="3" fontId="12" fillId="15" borderId="3" xfId="0" applyNumberFormat="1" applyFont="1" applyFill="1" applyBorder="1" applyAlignment="1">
      <x:alignment horizontal="center" vertical="center"/>
    </x:xf>
    <x:xf numFmtId="0" fontId="12" fillId="7" borderId="3" xfId="0" applyNumberFormat="1" applyFont="1" applyFill="1" applyBorder="1" applyAlignment="1">
      <x:alignment horizontal="center" vertical="center"/>
    </x:xf>
    <x:xf numFmtId="0" fontId="12" fillId="15" borderId="3" xfId="0" applyNumberFormat="1" applyFont="1" applyFill="1" applyBorder="1" applyAlignment="1">
      <x:alignment horizontal="center" vertical="center"/>
    </x:xf>
    <x:xf numFmtId="9" fontId="12" fillId="12" borderId="3" xfId="0" applyNumberFormat="1" applyFont="1" applyFill="1" applyBorder="1" applyAlignment="1">
      <x:alignment horizontal="center" vertical="center"/>
    </x:xf>
    <x:xf numFmtId="0" fontId="26" fillId="2" borderId="2" xfId="0" applyFont="1" applyFill="1" applyBorder="1" applyAlignment="1">
      <x:alignment vertical="center"/>
    </x:xf>
    <x:xf numFmtId="0" fontId="12" fillId="0" borderId="2" xfId="0" applyFont="1" applyBorder="1" applyAlignment="1">
      <x:alignment horizontal="center"/>
    </x:xf>
    <x:xf numFmtId="0" fontId="12" fillId="0" borderId="1" xfId="0" applyFont="1" applyBorder="1" applyAlignment="1">
      <x:alignment horizontal="center"/>
    </x:xf>
    <x:xf numFmtId="165" fontId="12" fillId="10" borderId="3" xfId="0" applyNumberFormat="1" applyFont="1" applyFill="1" applyBorder="1" applyAlignment="1">
      <x:alignment horizontal="center" vertical="center" wrapText="1"/>
    </x:xf>
    <x:xf numFmtId="165" fontId="12" fillId="10" borderId="3" xfId="0" applyNumberFormat="1" applyFont="1" applyFill="1" applyBorder="1" applyAlignment="1">
      <x:alignment horizontal="center" vertical="center"/>
    </x:xf>
    <x:xf numFmtId="49" fontId="15" fillId="2" borderId="1" xfId="0" applyNumberFormat="1" applyFont="1" applyFill="1" applyBorder="1" applyAlignment="1">
      <x:alignment vertical="center"/>
    </x:xf>
    <x:xf numFmtId="165" fontId="12" fillId="7" borderId="3" xfId="0" applyNumberFormat="1" applyFont="1" applyFill="1" applyBorder="1" applyAlignment="1">
      <x:alignment horizontal="center" vertical="center"/>
    </x:xf>
    <x:xf numFmtId="0" fontId="26" fillId="0" borderId="5" xfId="0" applyFont="1" applyBorder="1" applyAlignment="1"/>
    <x:xf numFmtId="0" fontId="23" fillId="2" borderId="4" xfId="0" applyFont="1" applyFill="1" applyBorder="1" applyAlignment="1">
      <x:alignment vertical="center" wrapText="1"/>
    </x:xf>
    <x:xf numFmtId="49" fontId="16" fillId="0" borderId="5" xfId="0" applyNumberFormat="1" applyFont="1" applyBorder="1" applyAlignment="1"/>
    <x:xf numFmtId="3" fontId="14" fillId="12" borderId="3" xfId="0" applyNumberFormat="1" applyFont="1" applyFill="1" applyBorder="1" applyAlignment="1">
      <x:alignment horizontal="center" vertical="center"/>
    </x:xf>
    <x:xf numFmtId="49" fontId="16" fillId="0" borderId="2" xfId="0" applyNumberFormat="1" applyFont="1" applyBorder="1" applyAlignment="1"/>
    <x:xf numFmtId="0" fontId="0" fillId="0" borderId="0" xfId="0" applyNumberFormat="1" applyFont="1" applyAlignment="1"/>
    <x:xf numFmtId="49" fontId="0" fillId="0" borderId="14" xfId="0" applyNumberFormat="1" applyFont="1" applyBorder="1" applyAlignment="1"/>
    <x:xf numFmtId="3" fontId="5" fillId="5" borderId="12" xfId="0" applyNumberFormat="1" applyFont="1" applyFill="1" applyBorder="1" applyAlignment="1">
      <x:alignment horizontal="center" vertical="center"/>
    </x:xf>
    <x:xf numFmtId="10" fontId="5" fillId="5" borderId="12" xfId="0" applyNumberFormat="1" applyFont="1" applyFill="1" applyBorder="1" applyAlignment="1">
      <x:alignment horizontal="center" vertical="center"/>
    </x:xf>
    <x:xf numFmtId="49" fontId="5" fillId="5" borderId="12" xfId="0" applyNumberFormat="1" applyFont="1" applyFill="1" applyBorder="1" applyAlignment="1">
      <x:alignment horizontal="center" vertical="center" wrapText="1"/>
    </x:xf>
    <x:xf numFmtId="3" fontId="5" fillId="2" borderId="16" xfId="0" applyNumberFormat="1" applyFont="1" applyFill="1" applyBorder="1" applyAlignment="1">
      <x:alignment horizontal="center" vertical="center"/>
    </x:xf>
    <x:xf numFmtId="10" fontId="5" fillId="2" borderId="16" xfId="0" applyNumberFormat="1" applyFont="1" applyFill="1" applyBorder="1" applyAlignment="1">
      <x:alignment horizontal="center" vertical="center"/>
    </x:xf>
    <x:xf numFmtId="49" fontId="5" fillId="2" borderId="16" xfId="0" applyNumberFormat="1" applyFont="1" applyFill="1" applyBorder="1" applyAlignment="1">
      <x:alignment horizontal="center" vertical="center" wrapText="1"/>
    </x:xf>
    <x:xf numFmtId="0" fontId="0" fillId="2" borderId="18" xfId="0" applyFont="1" applyFill="1" applyBorder="1" applyAlignment="1"/>
    <x:xf numFmtId="0" fontId="0" fillId="0" borderId="0" xfId="0" applyNumberFormat="1" applyFont="1" applyAlignment="1"/>
    <x:xf numFmtId="3" fontId="12" fillId="7" borderId="3" xfId="0" applyNumberFormat="1" applyFont="1" applyFill="1" applyBorder="1" applyAlignment="1">
      <x:alignment horizontal="center" vertical="center" wrapText="1"/>
    </x:xf>
    <x:xf numFmtId="3" fontId="12" fillId="14" borderId="3" xfId="0" applyNumberFormat="1" applyFont="1" applyFill="1" applyBorder="1" applyAlignment="1">
      <x:alignment horizontal="center" vertical="center" wrapText="1"/>
    </x:xf>
    <x:xf numFmtId="9" fontId="27" fillId="0" borderId="4" xfId="0" applyNumberFormat="1" applyFont="1" applyBorder="1" applyAlignment="1"/>
    <x:xf numFmtId="165" fontId="12" fillId="7" borderId="3" xfId="0" applyNumberFormat="1" applyFont="1" applyFill="1" applyBorder="1" applyAlignment="1">
      <x:alignment horizontal="center" vertical="center" wrapText="1"/>
    </x:xf>
    <x:xf numFmtId="166" fontId="12" fillId="14" borderId="3" xfId="0" applyNumberFormat="1" applyFont="1" applyFill="1" applyBorder="1" applyAlignment="1">
      <x:alignment horizontal="center" vertical="center" wrapText="1"/>
    </x:xf>
    <x:xf numFmtId="166" fontId="14" fillId="14" borderId="3" xfId="0" applyNumberFormat="1" applyFont="1" applyFill="1" applyBorder="1" applyAlignment="1">
      <x:alignment horizontal="center" vertical="center" wrapText="1"/>
    </x:xf>
    <x:xf numFmtId="0" fontId="29" fillId="2" borderId="4" xfId="0" applyFont="1" applyFill="1" applyBorder="1" applyAlignment="1">
      <x:alignment vertical="top" wrapText="1"/>
    </x:xf>
    <x:xf numFmtId="49" fontId="17" fillId="2" borderId="2" xfId="0" applyNumberFormat="1" applyFont="1" applyFill="1" applyBorder="1" applyAlignment="1">
      <x:alignment vertical="center"/>
    </x:xf>
    <x:xf numFmtId="0" fontId="30" fillId="0" borderId="4" xfId="0" applyFont="1" applyBorder="1" applyAlignment="1"/>
    <x:xf numFmtId="3" fontId="12" fillId="16" borderId="3" xfId="0" applyNumberFormat="1" applyFont="1" applyFill="1" applyBorder="1" applyAlignment="1">
      <x:alignment horizontal="center" vertical="center" wrapText="1"/>
    </x:xf>
    <x:xf numFmtId="0" fontId="12" fillId="0" borderId="49" xfId="0" applyFont="1" applyBorder="1" applyAlignment="1"/>
    <x:xf numFmtId="0" fontId="27" fillId="0" borderId="2" xfId="0" applyFont="1" applyBorder="1" applyAlignment="1"/>
    <x:xf numFmtId="165" fontId="14" fillId="7" borderId="3" xfId="0" applyNumberFormat="1" applyFont="1" applyFill="1" applyBorder="1" applyAlignment="1">
      <x:alignment horizontal="center" vertical="center" wrapText="1"/>
    </x:xf>
    <x:xf numFmtId="165" fontId="14" fillId="16" borderId="3" xfId="0" applyNumberFormat="1" applyFont="1" applyFill="1" applyBorder="1" applyAlignment="1">
      <x:alignment horizontal="center" vertical="center" wrapText="1"/>
    </x:xf>
    <x:xf numFmtId="9" fontId="12" fillId="0" borderId="4" xfId="0" applyNumberFormat="1" applyFont="1" applyBorder="1" applyAlignment="1"/>
    <x:xf numFmtId="2" fontId="27" fillId="0" borderId="2" xfId="0" applyNumberFormat="1" applyFont="1" applyBorder="1" applyAlignment="1"/>
    <x:xf numFmtId="0" fontId="12" fillId="16" borderId="3" xfId="0" applyNumberFormat="1" applyFont="1" applyFill="1" applyBorder="1" applyAlignment="1">
      <x:alignment horizontal="center" vertical="center" wrapText="1"/>
    </x:xf>
    <x:xf numFmtId="3" fontId="14" fillId="7" borderId="3" xfId="0" applyNumberFormat="1" applyFont="1" applyFill="1" applyBorder="1" applyAlignment="1">
      <x:alignment horizontal="center" vertical="center" wrapText="1"/>
    </x:xf>
    <x:xf numFmtId="3" fontId="14" fillId="14" borderId="3" xfId="0" applyNumberFormat="1" applyFont="1" applyFill="1" applyBorder="1" applyAlignment="1">
      <x:alignment horizontal="center" vertical="center" wrapText="1"/>
    </x:xf>
    <x:xf numFmtId="0" fontId="16" fillId="0" borderId="2" xfId="0" applyFont="1" applyBorder="1" applyAlignment="1"/>
    <x:xf numFmtId="165" fontId="12" fillId="14" borderId="3" xfId="0" applyNumberFormat="1" applyFont="1" applyFill="1" applyBorder="1" applyAlignment="1">
      <x:alignment horizontal="center" vertical="center" wrapText="1"/>
    </x:xf>
    <x:xf numFmtId="0" fontId="16" fillId="0" borderId="1" xfId="0" applyFont="1" applyBorder="1" applyAlignment="1"/>
    <x:xf numFmtId="0" fontId="27" fillId="0" borderId="4" xfId="0" applyFont="1" applyBorder="1" applyAlignment="1"/>
    <x:xf numFmtId="0" fontId="17" fillId="2" borderId="1" xfId="0" applyFont="1" applyFill="1" applyBorder="1" applyAlignment="1">
      <x:alignment vertical="center"/>
    </x:xf>
    <x:xf numFmtId="49" fontId="10" fillId="17" borderId="3" xfId="0" applyNumberFormat="1" applyFont="1" applyFill="1" applyBorder="1" applyAlignment="1">
      <x:alignment horizontal="center" vertical="center" wrapText="1"/>
    </x:xf>
    <x:xf numFmtId="0" fontId="0" fillId="16" borderId="3" xfId="0" applyNumberFormat="1" applyFont="1" applyFill="1" applyBorder="1" applyAlignment="1">
      <x:alignment horizontal="center" vertical="center" wrapText="1"/>
    </x:xf>
    <x:xf numFmtId="167" fontId="0" fillId="16" borderId="3" xfId="0" applyNumberFormat="1" applyFont="1" applyFill="1" applyBorder="1" applyAlignment="1">
      <x:alignment horizontal="center" vertical="center" wrapText="1"/>
    </x:xf>
    <x:xf numFmtId="167" fontId="12" fillId="16" borderId="3" xfId="0" applyNumberFormat="1" applyFont="1" applyFill="1" applyBorder="1" applyAlignment="1">
      <x:alignment horizontal="center" vertical="center" wrapText="1"/>
    </x:xf>
    <x:xf numFmtId="49" fontId="14" fillId="9" borderId="3" xfId="0" applyNumberFormat="1" applyFont="1" applyFill="1" applyBorder="1" applyAlignment="1">
      <x:alignment vertical="center" wrapText="1"/>
    </x:xf>
    <x:xf numFmtId="0" fontId="12" fillId="18" borderId="3" xfId="0" applyNumberFormat="1" applyFont="1" applyFill="1" applyBorder="1" applyAlignment="1">
      <x:alignment horizontal="center" vertical="center"/>
    </x:xf>
    <x:xf numFmtId="0" fontId="30" fillId="0" borderId="2" xfId="0" applyFont="1" applyBorder="1" applyAlignment="1"/>
    <x:xf numFmtId="49" fontId="12" fillId="0" borderId="5" xfId="0" applyNumberFormat="1" applyFont="1" applyBorder="1" applyAlignment="1"/>
    <x:xf numFmtId="0" fontId="12" fillId="0" borderId="5" xfId="0" applyFont="1" applyBorder="1" applyAlignment="1">
      <x:alignment horizontal="center"/>
    </x:xf>
    <x:xf numFmtId="0" fontId="12" fillId="14" borderId="3" xfId="0" applyNumberFormat="1" applyFont="1" applyFill="1" applyBorder="1" applyAlignment="1">
      <x:alignment horizontal="center" vertical="center" wrapText="1"/>
    </x:xf>
    <x:xf numFmtId="167" fontId="12" fillId="14" borderId="3" xfId="0" applyNumberFormat="1" applyFont="1" applyFill="1" applyBorder="1" applyAlignment="1">
      <x:alignment horizontal="center" vertical="center" wrapText="1"/>
    </x:xf>
    <x:xf numFmtId="0" fontId="0" fillId="0" borderId="50" xfId="0" applyFont="1" applyBorder="1" applyAlignment="1"/>
    <x:xf numFmtId="49" fontId="0" fillId="2" borderId="5" xfId="0" applyNumberFormat="1" applyFont="1" applyFill="1" applyBorder="1" applyAlignment="1">
      <x:alignment wrapText="1"/>
    </x:xf>
    <x:xf numFmtId="49" fontId="2" fillId="3" borderId="6" xfId="0" applyNumberFormat="1" applyFont="1" applyFill="1" applyBorder="1" applyAlignment="1">
      <x:alignment horizontal="left" vertical="center"/>
    </x:xf>
    <x:xf numFmtId="0" fontId="0" fillId="0" borderId="8" xfId="0" applyFont="1" applyBorder="1" applyAlignment="1"/>
    <x:xf numFmtId="0" fontId="0" fillId="0" borderId="2" xfId="0" applyFont="1" applyBorder="1" applyAlignment="1"/>
    <x:xf numFmtId="0" fontId="0" fillId="0" borderId="20" xfId="0" applyFont="1" applyBorder="1" applyAlignment="1"/>
    <x:xf numFmtId="0" fontId="21" fillId="9" borderId="43" xfId="0" applyFont="1" applyFill="1" applyBorder="1" applyAlignment="1">
      <x:alignment horizontal="center" vertical="center"/>
    </x:xf>
    <x:xf numFmtId="49" fontId="2" fillId="3" borderId="6" xfId="0" applyNumberFormat="1" applyFont="1" applyFill="1" applyBorder="1" applyAlignment="1">
      <x:alignment horizontal="left"/>
    </x:xf>
    <x:xf numFmtId="0" fontId="2" fillId="3" borderId="7" xfId="0" applyFont="1" applyFill="1" applyBorder="1" applyAlignment="1">
      <x:alignment horizontal="left"/>
    </x:xf>
    <x:xf numFmtId="49" fontId="3" fillId="4" borderId="9" xfId="0" applyNumberFormat="1" applyFont="1" applyFill="1" applyBorder="1" applyAlignment="1">
      <x:alignment wrapText="1"/>
    </x:xf>
    <x:xf numFmtId="0" fontId="3" fillId="4" borderId="10" xfId="0" applyFont="1" applyFill="1" applyBorder="1" applyAlignment="1">
      <x:alignment wrapText="1"/>
    </x:xf>
    <x:xf numFmtId="49" fontId="2" fillId="3" borderId="6" xfId="0" applyNumberFormat="1" applyFont="1" applyFill="1" applyBorder="1" applyAlignment="1">
      <x:alignment horizontal="left" vertical="center"/>
    </x:xf>
    <x:xf numFmtId="0" fontId="2" fillId="3" borderId="7" xfId="0" applyFont="1" applyFill="1" applyBorder="1" applyAlignment="1">
      <x:alignment horizontal="left" vertical="center"/>
    </x:xf>
    <x:xf numFmtId="49" fontId="3" fillId="4" borderId="9" xfId="0" applyNumberFormat="1" applyFont="1" applyFill="1" applyBorder="1" applyAlignment="1">
      <x:alignment horizontal="left" vertical="center" wrapText="1"/>
    </x:xf>
    <x:xf numFmtId="0" fontId="3" fillId="4" borderId="10" xfId="0" applyFont="1" applyFill="1" applyBorder="1" applyAlignment="1">
      <x:alignment horizontal="left" vertical="center" wrapText="1"/>
    </x:xf>
    <x:xf numFmtId="49" fontId="6" fillId="6" borderId="6" xfId="0" applyNumberFormat="1" applyFont="1" applyFill="1" applyBorder="1" applyAlignment="1">
      <x:alignment vertical="top" wrapText="1"/>
    </x:xf>
    <x:xf numFmtId="0" fontId="0" fillId="0" borderId="8" xfId="0" applyFont="1" applyBorder="1" applyAlignment="1"/>
    <x:xf numFmtId="0" fontId="0" fillId="0" borderId="2" xfId="0" applyFont="1" applyBorder="1" applyAlignment="1"/>
    <x:xf numFmtId="49" fontId="7" fillId="4" borderId="19" xfId="0" applyNumberFormat="1" applyFont="1" applyFill="1" applyBorder="1" applyAlignment="1">
      <x:alignment vertical="top" wrapText="1"/>
    </x:xf>
    <x:xf numFmtId="0" fontId="0" fillId="0" borderId="20" xfId="0" applyFont="1" applyBorder="1" applyAlignment="1"/>
    <x:xf numFmtId="49" fontId="9" fillId="8" borderId="33" xfId="0" applyNumberFormat="1" applyFont="1" applyFill="1" applyBorder="1" applyAlignment="1">
      <x:alignment vertical="top" wrapText="1"/>
    </x:xf>
    <x:xf numFmtId="0" fontId="0" fillId="0" borderId="34" xfId="0" applyFont="1" applyBorder="1" applyAlignment="1"/>
    <x:xf numFmtId="0" fontId="0" fillId="0" borderId="21" xfId="0" applyFont="1" applyBorder="1" applyAlignment="1"/>
    <x:xf numFmtId="49" fontId="10" fillId="5" borderId="37" xfId="0" applyNumberFormat="1" applyFont="1" applyFill="1" applyBorder="1" applyAlignment="1">
      <x:alignment horizontal="left" vertical="center"/>
    </x:xf>
    <x:xf numFmtId="0" fontId="10" fillId="5" borderId="38" xfId="0" applyFont="1" applyFill="1" applyBorder="1" applyAlignment="1">
      <x:alignment horizontal="left" vertical="center"/>
    </x:xf>
    <x:xf numFmtId="0" fontId="10" fillId="5" borderId="39" xfId="0" applyFont="1" applyFill="1" applyBorder="1" applyAlignment="1">
      <x:alignment horizontal="left" vertical="center"/>
    </x:xf>
    <x:xf numFmtId="0" fontId="1" fillId="5" borderId="37" xfId="0" applyFont="1" applyFill="1" applyBorder="1" applyAlignment="1">
      <x:alignment horizontal="left" vertical="center"/>
    </x:xf>
    <x:xf numFmtId="0" fontId="1" fillId="5" borderId="38" xfId="0" applyFont="1" applyFill="1" applyBorder="1" applyAlignment="1">
      <x:alignment horizontal="left" vertical="center"/>
    </x:xf>
    <x:xf numFmtId="0" fontId="1" fillId="5" borderId="39" xfId="0" applyFont="1" applyFill="1" applyBorder="1" applyAlignment="1">
      <x:alignment horizontal="left" vertical="center"/>
    </x:xf>
    <x:xf numFmtId="49" fontId="15" fillId="9" borderId="37" xfId="0" applyNumberFormat="1" applyFont="1" applyFill="1" applyBorder="1" applyAlignment="1">
      <x:alignment horizontal="center" vertical="center" wrapText="1"/>
    </x:xf>
    <x:xf numFmtId="0" fontId="15" fillId="9" borderId="38" xfId="0" applyFont="1" applyFill="1" applyBorder="1" applyAlignment="1">
      <x:alignment horizontal="center" vertical="center" wrapText="1"/>
    </x:xf>
    <x:xf numFmtId="0" fontId="15" fillId="9" borderId="39" xfId="0" applyFont="1" applyFill="1" applyBorder="1" applyAlignment="1">
      <x:alignment horizontal="center" vertical="center" wrapText="1"/>
    </x:xf>
    <x:xf numFmtId="49" fontId="21" fillId="9" borderId="41" xfId="0" applyNumberFormat="1" applyFont="1" applyFill="1" applyBorder="1" applyAlignment="1">
      <x:alignment horizontal="center" vertical="center"/>
    </x:xf>
    <x:xf numFmtId="0" fontId="21" fillId="9" borderId="43" xfId="0" applyFont="1" applyFill="1" applyBorder="1" applyAlignment="1">
      <x:alignment horizontal="center" vertical="center"/>
    </x:xf>
    <x:xf numFmtId="0" fontId="35" fillId="20" borderId="0" xfId="0" applyFont="1" applyFill="1"/>
    <x:xf numFmtId="0" fontId="36" fillId="20" borderId="0" xfId="0" applyFont="1" applyFill="1" applyAlignment="1"/>
    <x:xf numFmtId="0" fontId="31" fillId="19" borderId="0" xfId="0" applyFont="1" applyFill="1" applyAlignment="1">
      <x:alignment vertical="center"/>
    </x:xf>
    <x:xf numFmtId="0" fontId="0" fillId="19" borderId="0" xfId="0" applyFont="1" applyFill="1" applyAlignment="1"/>
    <x:xf numFmtId="0" fontId="1" fillId="0" borderId="0" xfId="0" applyFont="1" applyAlignment="1"/>
    <x:xf numFmtId="0" fontId="1" fillId="0" borderId="0" xfId="0" applyFont="1" applyAlignment="1"/>
    <x:xf numFmtId="0" fontId="0" fillId="0" borderId="0" xfId="0" applyFont="1" applyAlignment="1">
      <x:alignment wrapText="1"/>
    </x:xf>
    <x:xf numFmtId="0" fontId="37" fillId="0" borderId="0" xfId="0" applyFont="1" applyAlignment="1"/>
    <x:xf numFmtId="0" fontId="38" fillId="0" borderId="0" xfId="0" applyFont="1" applyAlignment="1"/>
    <x:xf numFmtId="0" fontId="40" fillId="19" borderId="0" xfId="0" applyFont="1" applyFill="1"/>
    <x:xf numFmtId="49" fontId="42" fillId="19" borderId="56" xfId="0" applyNumberFormat="1" applyFont="1" applyFill="1" applyBorder="1" applyAlignment="1">
      <x:alignment horizontal="center" vertical="center" wrapText="1"/>
    </x:xf>
    <x:xf numFmtId="0" fontId="40" fillId="19" borderId="57" xfId="0" applyFont="1" applyFill="1" applyBorder="1"/>
    <x:xf numFmtId="49" fontId="43" fillId="19" borderId="63" xfId="0" applyNumberFormat="1" applyFont="1" applyFill="1" applyBorder="1" applyAlignment="1">
      <x:alignment vertical="top" wrapText="1"/>
    </x:xf>
    <x:xf numFmtId="0" fontId="0" fillId="0" borderId="68" xfId="0" applyFont="1" applyBorder="1" applyAlignment="1"/>
    <x:xf numFmtId="0" fontId="0" fillId="0" borderId="46" xfId="0" applyFont="1" applyBorder="1" applyAlignment="1"/>
    <x:xf numFmtId="49" fontId="39" fillId="2" borderId="51" xfId="0" applyNumberFormat="1" applyFont="1" applyFill="1" applyBorder="1" applyAlignment="1">
      <x:alignment horizontal="left" vertical="center"/>
    </x:xf>
    <x:xf numFmtId="0" fontId="39" fillId="2" borderId="52" xfId="0" applyFont="1" applyFill="1" applyBorder="1" applyAlignment="1">
      <x:alignment horizontal="left" vertical="center"/>
    </x:xf>
    <x:xf numFmtId="0" fontId="40" fillId="0" borderId="53" xfId="0" applyFont="1" applyBorder="1"/>
    <x:xf numFmtId="0" fontId="40" fillId="0" borderId="0" xfId="0" applyFont="1"/>
    <x:xf numFmtId="49" fontId="41" fillId="4" borderId="54" xfId="0" applyNumberFormat="1" applyFont="1" applyFill="1" applyBorder="1" applyAlignment="1">
      <x:alignment horizontal="left" vertical="center" wrapText="1"/>
    </x:xf>
    <x:xf numFmtId="0" fontId="41" fillId="4" borderId="0" xfId="0" applyFont="1" applyFill="1" applyAlignment="1">
      <x:alignment horizontal="left" vertical="center" wrapText="1"/>
    </x:xf>
    <x:xf numFmtId="0" fontId="40" fillId="0" borderId="55" xfId="0" applyFont="1" applyBorder="1"/>
    <x:xf numFmtId="168" fontId="43" fillId="5" borderId="58" xfId="0" applyNumberFormat="1" applyFont="1" applyFill="1" applyBorder="1" applyAlignment="1">
      <x:alignment horizontal="center" vertical="top"/>
    </x:xf>
    <x:xf numFmtId="168" fontId="43" fillId="5" borderId="59" xfId="0" applyNumberFormat="1" applyFont="1" applyFill="1" applyBorder="1" applyAlignment="1">
      <x:alignment horizontal="center" vertical="top"/>
    </x:xf>
    <x:xf numFmtId="49" fontId="43" fillId="5" borderId="59" xfId="0" applyNumberFormat="1" applyFont="1" applyFill="1" applyBorder="1" applyAlignment="1">
      <x:alignment horizontal="center" vertical="top"/>
    </x:xf>
    <x:xf numFmtId="49" fontId="43" fillId="5" borderId="59" xfId="0" applyNumberFormat="1" applyFont="1" applyFill="1" applyBorder="1" applyAlignment="1">
      <x:alignment vertical="top" wrapText="1"/>
    </x:xf>
    <x:xf numFmtId="0" fontId="43" fillId="5" borderId="59" xfId="0" applyFont="1" applyFill="1" applyBorder="1" applyAlignment="1">
      <x:alignment vertical="top" wrapText="1"/>
    </x:xf>
    <x:xf numFmtId="3" fontId="43" fillId="5" borderId="59" xfId="0" applyNumberFormat="1" applyFont="1" applyFill="1" applyBorder="1" applyAlignment="1">
      <x:alignment horizontal="right" vertical="top"/>
    </x:xf>
    <x:xf numFmtId="165" fontId="43" fillId="5" borderId="59" xfId="0" applyNumberFormat="1" applyFont="1" applyFill="1" applyBorder="1" applyAlignment="1">
      <x:alignment horizontal="right" vertical="top"/>
    </x:xf>
    <x:xf numFmtId="167" fontId="43" fillId="5" borderId="59" xfId="0" applyNumberFormat="1" applyFont="1" applyFill="1" applyBorder="1" applyAlignment="1">
      <x:alignment horizontal="right" vertical="top"/>
    </x:xf>
    <x:xf numFmtId="49" fontId="43" fillId="5" borderId="60" xfId="0" applyNumberFormat="1" applyFont="1" applyFill="1" applyBorder="1" applyAlignment="1">
      <x:alignment vertical="top" wrapText="1"/>
    </x:xf>
    <x:xf numFmtId="0" fontId="40" fillId="0" borderId="61" xfId="0" applyFont="1" applyBorder="1"/>
    <x:xf numFmtId="168" fontId="43" fillId="21" borderId="62" xfId="0" applyNumberFormat="1" applyFont="1" applyFill="1" applyBorder="1" applyAlignment="1">
      <x:alignment horizontal="center" vertical="top"/>
    </x:xf>
    <x:xf numFmtId="168" fontId="43" fillId="21" borderId="63" xfId="0" applyNumberFormat="1" applyFont="1" applyFill="1" applyBorder="1" applyAlignment="1">
      <x:alignment horizontal="center" vertical="top"/>
    </x:xf>
    <x:xf numFmtId="49" fontId="43" fillId="21" borderId="63" xfId="0" applyNumberFormat="1" applyFont="1" applyFill="1" applyBorder="1" applyAlignment="1">
      <x:alignment horizontal="center" vertical="top"/>
    </x:xf>
    <x:xf numFmtId="49" fontId="43" fillId="21" borderId="63" xfId="0" applyNumberFormat="1" applyFont="1" applyFill="1" applyBorder="1" applyAlignment="1">
      <x:alignment vertical="top" wrapText="1"/>
    </x:xf>
    <x:xf numFmtId="0" fontId="43" fillId="21" borderId="63" xfId="0" applyFont="1" applyFill="1" applyBorder="1" applyAlignment="1">
      <x:alignment vertical="top" wrapText="1"/>
    </x:xf>
    <x:xf numFmtId="3" fontId="43" fillId="21" borderId="63" xfId="0" applyNumberFormat="1" applyFont="1" applyFill="1" applyBorder="1" applyAlignment="1">
      <x:alignment horizontal="right" vertical="top"/>
    </x:xf>
    <x:xf numFmtId="165" fontId="43" fillId="21" borderId="63" xfId="0" applyNumberFormat="1" applyFont="1" applyFill="1" applyBorder="1" applyAlignment="1">
      <x:alignment horizontal="right" vertical="top"/>
    </x:xf>
    <x:xf numFmtId="167" fontId="43" fillId="21" borderId="63" xfId="0" applyNumberFormat="1" applyFont="1" applyFill="1" applyBorder="1" applyAlignment="1">
      <x:alignment horizontal="right" vertical="top"/>
    </x:xf>
    <x:xf numFmtId="49" fontId="43" fillId="21" borderId="64" xfId="0" applyNumberFormat="1" applyFont="1" applyFill="1" applyBorder="1" applyAlignment="1">
      <x:alignment vertical="top" wrapText="1"/>
    </x:xf>
    <x:xf numFmtId="168" fontId="43" fillId="5" borderId="62" xfId="0" applyNumberFormat="1" applyFont="1" applyFill="1" applyBorder="1" applyAlignment="1">
      <x:alignment horizontal="center" vertical="top"/>
    </x:xf>
    <x:xf numFmtId="168" fontId="43" fillId="5" borderId="63" xfId="0" applyNumberFormat="1" applyFont="1" applyFill="1" applyBorder="1" applyAlignment="1">
      <x:alignment horizontal="center" vertical="top"/>
    </x:xf>
    <x:xf numFmtId="49" fontId="43" fillId="5" borderId="63" xfId="0" applyNumberFormat="1" applyFont="1" applyFill="1" applyBorder="1" applyAlignment="1">
      <x:alignment horizontal="center" vertical="top"/>
    </x:xf>
    <x:xf numFmtId="49" fontId="43" fillId="5" borderId="63" xfId="0" applyNumberFormat="1" applyFont="1" applyFill="1" applyBorder="1" applyAlignment="1">
      <x:alignment vertical="top" wrapText="1"/>
    </x:xf>
    <x:xf numFmtId="0" fontId="43" fillId="5" borderId="63" xfId="0" applyFont="1" applyFill="1" applyBorder="1" applyAlignment="1">
      <x:alignment vertical="top" wrapText="1"/>
    </x:xf>
    <x:xf numFmtId="3" fontId="43" fillId="5" borderId="63" xfId="0" applyNumberFormat="1" applyFont="1" applyFill="1" applyBorder="1" applyAlignment="1">
      <x:alignment horizontal="right" vertical="top"/>
    </x:xf>
    <x:xf numFmtId="165" fontId="43" fillId="5" borderId="63" xfId="0" applyNumberFormat="1" applyFont="1" applyFill="1" applyBorder="1" applyAlignment="1">
      <x:alignment horizontal="right" vertical="top"/>
    </x:xf>
    <x:xf numFmtId="167" fontId="43" fillId="5" borderId="63" xfId="0" applyNumberFormat="1" applyFont="1" applyFill="1" applyBorder="1" applyAlignment="1">
      <x:alignment horizontal="right" vertical="top"/>
    </x:xf>
    <x:xf numFmtId="49" fontId="43" fillId="5" borderId="64" xfId="0" applyNumberFormat="1" applyFont="1" applyFill="1" applyBorder="1" applyAlignment="1">
      <x:alignment vertical="top" wrapText="1"/>
    </x:xf>
    <x:xf numFmtId="0" fontId="40" fillId="0" borderId="65" xfId="0" applyFont="1" applyBorder="1"/>
    <x:xf numFmtId="0" fontId="40" fillId="0" borderId="66" xfId="0" applyFont="1" applyBorder="1"/>
    <x:xf numFmtId="0" fontId="40" fillId="0" borderId="67" xfId="0" applyFont="1" applyBorder="1"/>
    <x:xf numFmtId="0" fontId="33" fillId="19" borderId="68" xfId="0" applyFont="1" applyFill="1" applyBorder="1" applyAlignment="1">
      <x:alignment vertical="center" wrapText="1"/>
    </x:xf>
    <x:xf numFmtId="0" fontId="32" fillId="0" borderId="68" xfId="0" applyFont="1" applyBorder="1"/>
    <x:xf numFmtId="0" fontId="34" fillId="19" borderId="68" xfId="0" applyFont="1" applyFill="1" applyBorder="1" applyAlignment="1">
      <x:alignment vertical="top" wrapText="1"/>
    </x:xf>
    <x:xf numFmtId="0" fontId="34" fillId="0" borderId="68" xfId="0" applyFont="1" applyBorder="1" applyAlignment="1">
      <x:alignment vertical="top" wrapText="1"/>
    </x:xf>
    <x:xf numFmtId="0" fontId="32" fillId="0" borderId="46" xfId="0" applyFont="1" applyBorder="1"/>
    <x:xf numFmtId="0" fontId="32" fillId="19" borderId="46" xfId="0" applyFont="1" applyFill="1" applyBorder="1"/>
    <x:xf numFmtId="0" fontId="0" fillId="22" borderId="0" xfId="0" applyFont="1" applyFill="1" applyAlignment="1"/>
    <x:xf numFmtId="49" fontId="0" fillId="22" borderId="68" xfId="0" applyNumberFormat="1" applyFill="1" applyBorder="1" applyAlignment="1">
      <x:alignment vertical="top" wrapText="1"/>
    </x:xf>
    <x:xf numFmtId="0" fontId="0" fillId="22" borderId="68" xfId="0" applyFill="1" applyBorder="1"/>
    <x:xf numFmtId="49" fontId="0" fillId="22" borderId="68" xfId="0" applyNumberFormat="1" applyFill="1" applyBorder="1"/>
    <x:xf numFmtId="0" fontId="0" fillId="22" borderId="46" xfId="0" applyFont="1" applyFill="1" applyBorder="1" applyAlignment="1"/>
    <x:xf numFmtId="0" fontId="0" fillId="22" borderId="69" xfId="0" applyFill="1" applyBorder="1"/>
    <x:xf numFmtId="49" fontId="40" fillId="22" borderId="69" xfId="0" applyNumberFormat="1" applyFont="1" applyFill="1" applyBorder="1" applyAlignment="1">
      <x:alignment wrapText="1"/>
    </x:xf>
    <x:xf numFmtId="49" fontId="44" fillId="22" borderId="68" xfId="0" applyNumberFormat="1" applyFont="1" applyFill="1" applyBorder="1" applyAlignment="1">
      <x:alignment vertical="top" wrapText="1"/>
    </x:xf>
    <x:xf numFmtId="49" fontId="0" fillId="22" borderId="69" xfId="0" applyNumberFormat="1" applyFill="1" applyBorder="1" applyAlignment="1">
      <x:alignment vertical="top" wrapText="1"/>
    </x:xf>
    <x:xf numFmtId="49" fontId="0" fillId="22" borderId="70" xfId="0" applyNumberFormat="1" applyFill="1" applyBorder="1" applyAlignment="1">
      <x:alignment vertical="top" wrapText="1"/>
    </x:xf>
    <x:xf numFmtId="49" fontId="45" fillId="22" borderId="71" xfId="0" applyNumberFormat="1" applyFont="1" applyFill="1" applyBorder="1"/>
    <x:xf numFmtId="0" fontId="1" fillId="22" borderId="71" xfId="0" applyFont="1" applyFill="1" applyBorder="1"/>
    <x:xf numFmtId="49" fontId="1" fillId="22" borderId="68" xfId="0" applyNumberFormat="1" applyFont="1" applyFill="1" applyBorder="1" applyAlignment="1">
      <x:alignment vertical="top" wrapText="1"/>
    </x:xf>
    <x:xf numFmtId="0" fontId="1" fillId="0" borderId="46" xfId="0" applyFont="1" applyBorder="1" applyAlignment="1"/>
    <x:xf numFmtId="49" fontId="45" fillId="22" borderId="68" xfId="0" applyNumberFormat="1" applyFont="1" applyFill="1" applyBorder="1" applyAlignment="1">
      <x:alignment horizontal="left"/>
    </x:xf>
    <x:xf numFmtId="0" fontId="45" fillId="0" borderId="46" xfId="0" applyFont="1" applyBorder="1" applyAlignment="1"/>
    <x:xf numFmtId="0" fontId="45" fillId="0" borderId="0" xfId="0" applyFont="1" applyAlignment="1"/>
    <x:xf numFmtId="0" fontId="1" fillId="0" borderId="68" xfId="0" applyFont="1" applyBorder="1" applyAlignment="1"/>
    <x:xf numFmtId="200" fontId="5" fillId="5" borderId="12" xfId="0" applyNumberFormat="1" applyFont="1" applyFill="1" applyBorder="1" applyAlignment="1">
      <x:alignment horizontal="center" vertical="center"/>
    </x:xf>
    <x:xf numFmtId="200" fontId="5" fillId="2" borderId="16" xfId="0" applyNumberFormat="1" applyFont="1" applyFill="1" applyBorder="1" applyAlignment="1">
      <x:alignment horizontal="center" vertical="center"/>
    </x:xf>
    <x:xf numFmtId="200" fontId="0" fillId="0" borderId="18" xfId="0" applyNumberFormat="1" applyFont="1" applyFill="1" applyBorder="1"/>
    <x:xf numFmtId="200" fontId="0" fillId="0" borderId="0" xfId="0" applyNumberFormat="1" applyFont="1" applyFill="1" applyBorder="1"/>
    <x:xf numFmtId="49" fontId="45" fillId="23" borderId="71" xfId="0" applyNumberFormat="1" applyFont="1" applyFill="1" applyBorder="1"/>
    <x:xf numFmtId="0" fontId="1" fillId="23" borderId="71" xfId="0" applyNumberFormat="1" applyFont="1" applyFill="1" applyBorder="1"/>
    <x:xf numFmtId="0" fontId="0" fillId="23" borderId="0" xfId="0" applyNumberFormat="1" applyFont="1" applyFill="1" applyBorder="1"/>
    <x:xf numFmtId="49" fontId="0" fillId="23" borderId="68" xfId="0" applyNumberFormat="1" applyFont="1" applyFill="1" applyBorder="1" applyAlignment="1">
      <x:alignment vertical="top" wrapText="1"/>
    </x:xf>
    <x:xf numFmtId="49" fontId="0" fillId="23" borderId="69" xfId="0" applyNumberFormat="1" applyFont="1" applyFill="1" applyBorder="1" applyAlignment="1">
      <x:alignment vertical="top" wrapText="1"/>
    </x:xf>
    <x:xf numFmtId="0" fontId="0" fillId="23" borderId="69" xfId="0" applyNumberFormat="1" applyFont="1" applyFill="1" applyBorder="1"/>
    <x:xf numFmtId="49" fontId="1" fillId="23" borderId="68" xfId="0" applyNumberFormat="1" applyFont="1" applyFill="1" applyBorder="1" applyAlignment="1">
      <x:alignment vertical="top" wrapText="1"/>
    </x:xf>
    <x:xf numFmtId="0" fontId="1" fillId="23" borderId="0" xfId="0" applyNumberFormat="1" applyFont="1" applyFill="1" applyBorder="1"/>
    <x:xf numFmtId="49" fontId="0" fillId="23" borderId="70" xfId="0" applyNumberFormat="1" applyFont="1" applyFill="1" applyBorder="1" applyAlignment="1">
      <x:alignment vertical="top" wrapText="1"/>
    </x:xf>
    <x:xf numFmtId="0" fontId="0" fillId="23" borderId="68" xfId="0" applyNumberFormat="1" applyFont="1" applyFill="1" applyBorder="1"/>
    <x:xf numFmtId="49" fontId="44" fillId="23" borderId="68" xfId="0" applyNumberFormat="1" applyFont="1" applyFill="1" applyBorder="1" applyAlignment="1">
      <x:alignment vertical="top" wrapText="1"/>
    </x:xf>
    <x:xf numFmtId="49" fontId="0" fillId="23" borderId="68" xfId="0" applyNumberFormat="1" applyFont="1" applyFill="1" applyBorder="1"/>
    <x:xf numFmtId="49" fontId="45" fillId="23" borderId="68" xfId="0" applyNumberFormat="1" applyFont="1" applyFill="1" applyBorder="1" applyAlignment="1">
      <x:alignment horizontal="left"/>
    </x:xf>
    <x:xf numFmtId="0" fontId="45" fillId="23" borderId="0" xfId="0" applyNumberFormat="1" applyFont="1" applyFill="1" applyBorder="1"/>
    <x:xf numFmtId="49" fontId="38" fillId="23" borderId="69" xfId="0" applyNumberFormat="1" applyFont="1" applyFill="1" applyBorder="1" applyAlignment="1">
      <x:alignment wrapText="1"/>
    </x:xf>
    <x:xf numFmtId="49" fontId="47" fillId="23" borderId="71" xfId="0" applyNumberFormat="1" applyFont="1" applyFill="1" applyBorder="1"/>
    <x:xf numFmtId="0" fontId="47" fillId="23" borderId="71" xfId="0" applyNumberFormat="1" applyFont="1" applyFill="1" applyBorder="1"/>
    <x:xf numFmtId="0" fontId="48" fillId="23" borderId="0" xfId="0" applyNumberFormat="1" applyFont="1" applyFill="1" applyBorder="1"/>
    <x:xf numFmtId="49" fontId="48" fillId="23" borderId="68" xfId="0" applyNumberFormat="1" applyFont="1" applyFill="1" applyBorder="1" applyAlignment="1">
      <x:alignment vertical="top" wrapText="1"/>
    </x:xf>
    <x:xf numFmtId="49" fontId="48" fillId="23" borderId="69" xfId="0" applyNumberFormat="1" applyFont="1" applyFill="1" applyBorder="1" applyAlignment="1">
      <x:alignment vertical="top" wrapText="1"/>
    </x:xf>
    <x:xf numFmtId="0" fontId="48" fillId="23" borderId="69" xfId="0" applyNumberFormat="1" applyFont="1" applyFill="1" applyBorder="1"/>
    <x:xf numFmtId="49" fontId="47" fillId="23" borderId="68" xfId="0" applyNumberFormat="1" applyFont="1" applyFill="1" applyBorder="1" applyAlignment="1">
      <x:alignment vertical="top" wrapText="1"/>
    </x:xf>
    <x:xf numFmtId="0" fontId="47" fillId="23" borderId="0" xfId="0" applyNumberFormat="1" applyFont="1" applyFill="1" applyBorder="1"/>
    <x:xf numFmtId="49" fontId="48" fillId="23" borderId="70" xfId="0" applyNumberFormat="1" applyFont="1" applyFill="1" applyBorder="1" applyAlignment="1">
      <x:alignment vertical="top" wrapText="1"/>
    </x:xf>
    <x:xf numFmtId="0" fontId="48" fillId="23" borderId="68" xfId="0" applyNumberFormat="1" applyFont="1" applyFill="1" applyBorder="1"/>
    <x:xf numFmtId="49" fontId="48" fillId="23" borderId="68" xfId="0" applyNumberFormat="1" applyFont="1" applyFill="1" applyBorder="1"/>
    <x:xf numFmtId="49" fontId="47" fillId="23" borderId="68" xfId="0" applyNumberFormat="1" applyFont="1" applyFill="1" applyBorder="1" applyAlignment="1">
      <x:alignment horizontal="left"/>
    </x:xf>
    <x:xf numFmtId="49" fontId="48" fillId="23" borderId="69" xfId="0" applyNumberFormat="1" applyFont="1" applyFill="1" applyBorder="1" applyAlignment="1">
      <x:alignment wrapText="1"/>
    </x:xf>
    <x:xf numFmtId="49" fontId="47" fillId="23" borderId="71" xfId="0" applyNumberFormat="1" applyFont="1" applyFill="1" applyBorder="1" applyAlignment="1">
      <x:alignment wrapText="1"/>
    </x:xf>
    <x:xf numFmtId="0" fontId="47" fillId="23" borderId="71" xfId="0" applyNumberFormat="1" applyFont="1" applyFill="1" applyBorder="1" applyAlignment="1">
      <x:alignment wrapText="1"/>
    </x:xf>
    <x:xf numFmtId="0" fontId="48" fillId="23" borderId="0" xfId="0" applyNumberFormat="1" applyFont="1" applyFill="1" applyBorder="1" applyAlignment="1">
      <x:alignment wrapText="1"/>
    </x:xf>
    <x:xf numFmtId="0" fontId="48" fillId="23" borderId="69" xfId="0" applyNumberFormat="1" applyFont="1" applyFill="1" applyBorder="1" applyAlignment="1">
      <x:alignment wrapText="1"/>
    </x:xf>
    <x:xf numFmtId="0" fontId="47" fillId="23" borderId="0" xfId="0" applyNumberFormat="1" applyFont="1" applyFill="1" applyBorder="1" applyAlignment="1">
      <x:alignment wrapText="1"/>
    </x:xf>
    <x:xf numFmtId="0" fontId="48" fillId="23" borderId="68" xfId="0" applyNumberFormat="1" applyFont="1" applyFill="1" applyBorder="1" applyAlignment="1">
      <x:alignment wrapText="1"/>
    </x:xf>
    <x:xf numFmtId="49" fontId="48" fillId="23" borderId="68" xfId="0" applyNumberFormat="1" applyFont="1" applyFill="1" applyBorder="1" applyAlignment="1">
      <x:alignment wrapText="1"/>
    </x:xf>
    <x:xf numFmtId="49" fontId="47" fillId="23" borderId="68" xfId="0" applyNumberFormat="1" applyFont="1" applyFill="1" applyBorder="1" applyAlignment="1">
      <x:alignment horizontal="left" wrapText="1"/>
    </x:xf>
    <x:xf numFmtId="49" fontId="47" fillId="23" borderId="71" xfId="0" applyNumberFormat="1" applyFont="1" applyFill="1" applyBorder="1" applyAlignment="1">
      <x:alignment vertical="top" wrapText="1"/>
    </x:xf>
    <x:xf numFmtId="0" fontId="47" fillId="23" borderId="71" xfId="0" applyNumberFormat="1" applyFont="1" applyFill="1" applyBorder="1" applyAlignment="1">
      <x:alignment vertical="top" wrapText="1"/>
    </x:xf>
    <x:xf numFmtId="0" fontId="48" fillId="23" borderId="0" xfId="0" applyNumberFormat="1" applyFont="1" applyFill="1" applyBorder="1" applyAlignment="1">
      <x:alignment vertical="top" wrapText="1"/>
    </x:xf>
    <x:xf numFmtId="0" fontId="48" fillId="23" borderId="69" xfId="0" applyNumberFormat="1" applyFont="1" applyFill="1" applyBorder="1" applyAlignment="1">
      <x:alignment vertical="top" wrapText="1"/>
    </x:xf>
    <x:xf numFmtId="0" fontId="47" fillId="23" borderId="0" xfId="0" applyNumberFormat="1" applyFont="1" applyFill="1" applyBorder="1" applyAlignment="1">
      <x:alignment vertical="top" wrapText="1"/>
    </x:xf>
    <x:xf numFmtId="0" fontId="48" fillId="23" borderId="68" xfId="0" applyNumberFormat="1" applyFont="1" applyFill="1" applyBorder="1" applyAlignment="1">
      <x:alignment vertical="top" wrapText="1"/>
    </x:xf>
    <x:xf numFmtId="49" fontId="47" fillId="23" borderId="68" xfId="0" applyNumberFormat="1" applyFont="1" applyFill="1" applyBorder="1" applyAlignment="1">
      <x:alignment horizontal="left" vertical="top" wrapText="1"/>
    </x:xf>
    <x:xf numFmtId="49" fontId="47" fillId="23" borderId="72" xfId="0" applyNumberFormat="1" applyFont="1" applyFill="1" applyBorder="1" applyAlignment="1">
      <x:alignment vertical="top" wrapText="1"/>
    </x:xf>
    <x:xf numFmtId="0" fontId="47" fillId="23" borderId="73" xfId="0" applyNumberFormat="1" applyFont="1" applyFill="1" applyBorder="1" applyAlignment="1">
      <x:alignment vertical="top" wrapText="1"/>
    </x:xf>
    <x:xf numFmtId="0" fontId="48" fillId="23" borderId="73" xfId="0" applyNumberFormat="1" applyFont="1" applyFill="1" applyBorder="1" applyAlignment="1">
      <x:alignment vertical="top" wrapText="1"/>
    </x:xf>
    <x:xf numFmtId="0" fontId="48" fillId="23" borderId="74" xfId="0" applyNumberFormat="1" applyFont="1" applyFill="1" applyBorder="1" applyAlignment="1">
      <x:alignment vertical="top" wrapText="1"/>
    </x:xf>
    <x:xf numFmtId="49" fontId="48" fillId="23" borderId="75" xfId="0" applyNumberFormat="1" applyFont="1" applyFill="1" applyBorder="1" applyAlignment="1">
      <x:alignment vertical="top" wrapText="1"/>
    </x:xf>
    <x:xf numFmtId="49" fontId="48" fillId="23" borderId="76" xfId="0" applyNumberFormat="1" applyFont="1" applyFill="1" applyBorder="1" applyAlignment="1">
      <x:alignment vertical="top" wrapText="1"/>
    </x:xf>
    <x:xf numFmtId="0" fontId="48" fillId="23" borderId="76" xfId="0" applyNumberFormat="1" applyFont="1" applyFill="1" applyBorder="1" applyAlignment="1">
      <x:alignment vertical="top" wrapText="1"/>
    </x:xf>
    <x:xf numFmtId="0" fontId="48" fillId="23" borderId="77" xfId="0" applyNumberFormat="1" applyFont="1" applyFill="1" applyBorder="1" applyAlignment="1">
      <x:alignment vertical="top" wrapText="1"/>
    </x:xf>
    <x:xf numFmtId="49" fontId="47" fillId="23" borderId="75" xfId="0" applyNumberFormat="1" applyFont="1" applyFill="1" applyBorder="1" applyAlignment="1">
      <x:alignment vertical="top" wrapText="1"/>
    </x:xf>
    <x:xf numFmtId="49" fontId="47" fillId="23" borderId="76" xfId="0" applyNumberFormat="1" applyFont="1" applyFill="1" applyBorder="1" applyAlignment="1">
      <x:alignment vertical="top" wrapText="1"/>
    </x:xf>
    <x:xf numFmtId="0" fontId="47" fillId="23" borderId="76" xfId="0" applyNumberFormat="1" applyFont="1" applyFill="1" applyBorder="1" applyAlignment="1">
      <x:alignment vertical="top" wrapText="1"/>
    </x:xf>
    <x:xf numFmtId="0" fontId="48" fillId="23" borderId="75" xfId="0" applyNumberFormat="1" applyFont="1" applyFill="1" applyBorder="1" applyAlignment="1">
      <x:alignment vertical="top" wrapText="1"/>
    </x:xf>
    <x:xf numFmtId="49" fontId="47" fillId="23" borderId="75" xfId="0" applyNumberFormat="1" applyFont="1" applyFill="1" applyBorder="1" applyAlignment="1">
      <x:alignment horizontal="left" vertical="top" wrapText="1"/>
    </x:xf>
    <x:xf numFmtId="49" fontId="47" fillId="23" borderId="76" xfId="0" applyNumberFormat="1" applyFont="1" applyFill="1" applyBorder="1" applyAlignment="1">
      <x:alignment horizontal="left" vertical="top" wrapText="1"/>
    </x:xf>
    <x:xf numFmtId="0" fontId="48" fillId="23" borderId="78" xfId="0" applyNumberFormat="1" applyFont="1" applyFill="1" applyBorder="1" applyAlignment="1">
      <x:alignment vertical="top" wrapText="1"/>
    </x:xf>
    <x:xf numFmtId="0" fontId="48" fillId="23" borderId="79" xfId="0" applyNumberFormat="1" applyFont="1" applyFill="1" applyBorder="1" applyAlignment="1">
      <x:alignment vertical="top" wrapText="1"/>
    </x:xf>
    <x:xf numFmtId="0" fontId="48" fillId="23" borderId="80" xfId="0" applyNumberFormat="1" applyFont="1" applyFill="1" applyBorder="1" applyAlignment="1">
      <x:alignment vertical="top" wrapText="1"/>
    </x:xf>
    <x:xf numFmtId="49" fontId="47" fillId="24" borderId="72" xfId="0" applyNumberFormat="1" applyFont="1" applyFill="1" applyBorder="1" applyAlignment="1">
      <x:alignment vertical="top" wrapText="1"/>
    </x:xf>
    <x:xf numFmtId="49" fontId="49" fillId="24" borderId="72" xfId="0" applyNumberFormat="1" applyFont="1" applyFill="1" applyBorder="1" applyAlignment="1">
      <x:alignment vertical="top" wrapText="1"/>
    </x:xf>
    <x:xf numFmtId="49" fontId="49" fillId="24" borderId="72" xfId="0" applyNumberFormat="1" applyFont="1" applyFill="1" applyBorder="1" applyAlignment="1">
      <x:alignment vertical="center" wrapText="1"/>
    </x:xf>
    <x:xf numFmtId="49" fontId="47" fillId="25" borderId="75" xfId="0" applyNumberFormat="1" applyFont="1" applyFill="1" applyBorder="1" applyAlignment="1">
      <x:alignment vertical="top" wrapText="1"/>
    </x:xf>
    <x:xf numFmtId="49" fontId="50" fillId="25" borderId="75" xfId="0" applyNumberFormat="1" applyFont="1" applyFill="1" applyBorder="1" applyAlignment="1">
      <x:alignment vertical="top" wrapText="1"/>
    </x:xf>
    <x:xf numFmtId="49" fontId="50" fillId="25" borderId="76" xfId="0" applyNumberFormat="1" applyFont="1" applyFill="1" applyBorder="1" applyAlignment="1">
      <x:alignment vertical="top" wrapText="1"/>
    </x:xf>
    <x:xf numFmtId="49" fontId="50" fillId="25" borderId="76" xfId="0" applyNumberFormat="1" applyFont="1" applyFill="1" applyBorder="1" applyAlignment="1">
      <x:alignment vertical="center" wrapText="1"/>
    </x:xf>
    <x:xf numFmtId="49" fontId="47" fillId="25" borderId="75" xfId="0" applyNumberFormat="1" applyFont="1" applyFill="1" applyBorder="1" applyAlignment="1">
      <x:alignment horizontal="left" vertical="top" wrapText="1"/>
    </x:xf>
    <x:xf numFmtId="49" fontId="50" fillId="25" borderId="75" xfId="0" applyNumberFormat="1" applyFont="1" applyFill="1" applyBorder="1" applyAlignment="1">
      <x:alignment horizontal="left" vertical="top" wrapText="1"/>
    </x:xf>
    <x:xf numFmtId="49" fontId="50" fillId="25" borderId="76" xfId="0" applyNumberFormat="1" applyFont="1" applyFill="1" applyBorder="1" applyAlignment="1">
      <x:alignment horizontal="left" vertical="top" wrapText="1"/>
    </x:xf>
    <x:xf numFmtId="49" fontId="50" fillId="25" borderId="76" xfId="0" applyNumberFormat="1" applyFont="1" applyFill="1" applyBorder="1" applyAlignment="1">
      <x:alignment horizontal="left" vertical="center" wrapText="1"/>
    </x:xf>
    <x:xf numFmtId="49" fontId="48" fillId="26" borderId="75" xfId="0" applyNumberFormat="1" applyFont="1" applyFill="1" applyBorder="1" applyAlignment="1">
      <x:alignment vertical="top" wrapText="1"/>
    </x:xf>
    <x:xf numFmtId="49" fontId="51" fillId="26" borderId="75" xfId="0" applyNumberFormat="1" applyFont="1" applyFill="1" applyBorder="1" applyAlignment="1">
      <x:alignment vertical="top" wrapText="1"/>
    </x:xf>
    <x:xf numFmtId="49" fontId="51" fillId="26" borderId="75" xfId="0" applyNumberFormat="1" applyFont="1" applyFill="1" applyBorder="1" applyAlignment="1">
      <x:alignment vertical="center" wrapText="1"/>
    </x:xf>
    <x:xf numFmtId="49" fontId="47" fillId="26" borderId="75" xfId="0" applyNumberFormat="1" applyFont="1" applyFill="1" applyBorder="1" applyAlignment="1">
      <x:alignment vertical="top" wrapText="1"/>
    </x:xf>
    <x:xf numFmtId="49" fontId="0" fillId="23" borderId="2" xfId="0" applyNumberFormat="1" applyFont="1" applyFill="1" applyBorder="1"/>
    <x:xf numFmtId="0" fontId="0" fillId="23" borderId="2" xfId="0" applyNumberFormat="1" applyFont="1" applyFill="1" applyBorder="1"/>
    <x:xf numFmtId="49" fontId="1" fillId="23" borderId="2" xfId="0" applyNumberFormat="1" applyFont="1" applyFill="1" applyBorder="1"/>
    <x:xf numFmtId="49" fontId="48" fillId="23" borderId="2" xfId="0" applyNumberFormat="1" applyFont="1" applyFill="1" applyBorder="1"/>
    <x:xf numFmtId="0" fontId="48" fillId="23" borderId="2" xfId="0" applyNumberFormat="1" applyFont="1" applyFill="1" applyBorder="1"/>
    <x:xf numFmtId="49" fontId="47" fillId="23" borderId="2" xfId="0" applyNumberFormat="1" applyFont="1" applyFill="1" applyBorder="1"/>
    <x:xf numFmtId="49" fontId="48" fillId="23" borderId="2" xfId="0" applyNumberFormat="1" applyFont="1" applyFill="1" applyBorder="1" applyAlignment="1">
      <x:alignment wrapText="1"/>
    </x:xf>
    <x:xf numFmtId="0" fontId="48" fillId="23" borderId="2" xfId="0" applyNumberFormat="1" applyFont="1" applyFill="1" applyBorder="1" applyAlignment="1">
      <x:alignment wrapText="1"/>
    </x:xf>
    <x:xf numFmtId="49" fontId="47" fillId="23" borderId="2" xfId="0" applyNumberFormat="1" applyFont="1" applyFill="1" applyBorder="1" applyAlignment="1">
      <x:alignment wrapText="1"/>
    </x:xf>
    <x:xf numFmtId="49" fontId="48" fillId="23" borderId="2" xfId="0" applyNumberFormat="1" applyFont="1" applyFill="1" applyBorder="1" applyAlignment="1">
      <x:alignment vertical="top" wrapText="1"/>
    </x:xf>
    <x:xf numFmtId="0" fontId="48" fillId="23" borderId="2" xfId="0" applyNumberFormat="1" applyFont="1" applyFill="1" applyBorder="1" applyAlignment="1">
      <x:alignment vertical="top" wrapText="1"/>
    </x:xf>
    <x:xf numFmtId="49" fontId="47" fillId="23" borderId="2" xfId="0" applyNumberFormat="1" applyFont="1" applyFill="1" applyBorder="1" applyAlignment="1">
      <x:alignment vertical="top" wrapText="1"/>
    </x:xf>
    <x:xf numFmtId="49" fontId="48" fillId="23" borderId="81" xfId="0" applyNumberFormat="1" applyFont="1" applyFill="1" applyBorder="1" applyAlignment="1">
      <x:alignment vertical="top" wrapText="1"/>
    </x:xf>
    <x:xf numFmtId="0" fontId="48" fillId="23" borderId="82" xfId="0" applyNumberFormat="1" applyFont="1" applyFill="1" applyBorder="1" applyAlignment="1">
      <x:alignment vertical="top" wrapText="1"/>
    </x:xf>
    <x:xf numFmtId="0" fontId="48" fillId="23" borderId="83" xfId="0" applyNumberFormat="1" applyFont="1" applyFill="1" applyBorder="1" applyAlignment="1">
      <x:alignment vertical="top" wrapText="1"/>
    </x:xf>
    <x:xf numFmtId="0" fontId="48" fillId="23" borderId="84" xfId="0" applyNumberFormat="1" applyFont="1" applyFill="1" applyBorder="1" applyAlignment="1">
      <x:alignment vertical="top" wrapText="1"/>
    </x:xf>
    <x:xf numFmtId="0" fontId="48" fillId="23" borderId="85" xfId="0" applyNumberFormat="1" applyFont="1" applyFill="1" applyBorder="1" applyAlignment="1">
      <x:alignment vertical="top" wrapText="1"/>
    </x:xf>
    <x:xf numFmtId="49" fontId="47" fillId="23" borderId="84" xfId="0" applyNumberFormat="1" applyFont="1" applyFill="1" applyBorder="1" applyAlignment="1">
      <x:alignment vertical="top" wrapText="1"/>
    </x:xf>
    <x:xf numFmtId="49" fontId="48" fillId="23" borderId="84" xfId="0" applyNumberFormat="1" applyFont="1" applyFill="1" applyBorder="1" applyAlignment="1">
      <x:alignment vertical="top" wrapText="1"/>
    </x:xf>
    <x:xf numFmtId="49" fontId="48" fillId="23" borderId="86" xfId="0" applyNumberFormat="1" applyFont="1" applyFill="1" applyBorder="1" applyAlignment="1">
      <x:alignment vertical="top" wrapText="1"/>
    </x:xf>
    <x:xf numFmtId="49" fontId="48" fillId="23" borderId="87" xfId="0" applyNumberFormat="1" applyFont="1" applyFill="1" applyBorder="1" applyAlignment="1">
      <x:alignment vertical="top" wrapText="1"/>
    </x:xf>
    <x:xf numFmtId="0" fontId="48" fillId="23" borderId="87" xfId="0" applyNumberFormat="1" applyFont="1" applyFill="1" applyBorder="1" applyAlignment="1">
      <x:alignment vertical="top" wrapText="1"/>
    </x:xf>
    <x:xf numFmtId="0" fontId="48" fillId="23" borderId="88" xfId="0" applyNumberFormat="1" applyFont="1" applyFill="1" applyBorder="1" applyAlignment="1">
      <x:alignment vertical="top" wrapText="1"/>
    </x:xf>
    <x:xf numFmtId="49" fontId="48" fillId="24" borderId="81" xfId="0" applyNumberFormat="1" applyFont="1" applyFill="1" applyBorder="1" applyAlignment="1">
      <x:alignment vertical="top" wrapText="1"/>
    </x:xf>
    <x:xf numFmtId="49" fontId="49" fillId="24" borderId="81" xfId="0" applyNumberFormat="1" applyFont="1" applyFill="1" applyBorder="1" applyAlignment="1">
      <x:alignment vertical="top" wrapText="1"/>
    </x:xf>
    <x:xf numFmtId="49" fontId="49" fillId="24" borderId="81" xfId="0" applyNumberFormat="1" applyFont="1" applyFill="1" applyBorder="1" applyAlignment="1">
      <x:alignment vertical="center" wrapText="1"/>
    </x:xf>
    <x:xf numFmtId="49" fontId="47" fillId="25" borderId="84" xfId="0" applyNumberFormat="1" applyFont="1" applyFill="1" applyBorder="1" applyAlignment="1">
      <x:alignment vertical="top" wrapText="1"/>
    </x:xf>
    <x:xf numFmtId="49" fontId="50" fillId="25" borderId="84" xfId="0" applyNumberFormat="1" applyFont="1" applyFill="1" applyBorder="1" applyAlignment="1">
      <x:alignment vertical="top" wrapText="1"/>
    </x:xf>
    <x:xf numFmtId="49" fontId="2" fillId="23" borderId="6" xfId="0" applyNumberFormat="1" applyFont="1" applyFill="1" applyBorder="1" applyAlignment="1">
      <x:alignment horizontal="left"/>
    </x:xf>
    <x:xf numFmtId="0" fontId="2" fillId="23" borderId="7" xfId="0" applyNumberFormat="1" applyFont="1" applyFill="1" applyBorder="1" applyAlignment="1">
      <x:alignment horizontal="left"/>
    </x:xf>
    <x:xf numFmtId="0" fontId="0" fillId="23" borderId="8" xfId="0" applyNumberFormat="1" applyFont="1" applyFill="1" applyBorder="1"/>
    <x:xf numFmtId="49" fontId="3" fillId="23" borderId="9" xfId="0" applyNumberFormat="1" applyFont="1" applyFill="1" applyBorder="1" applyAlignment="1">
      <x:alignment wrapText="1"/>
    </x:xf>
    <x:xf numFmtId="0" fontId="3" fillId="23" borderId="10" xfId="0" applyNumberFormat="1" applyFont="1" applyFill="1" applyBorder="1" applyAlignment="1">
      <x:alignment wrapText="1"/>
    </x:xf>
    <x:xf numFmtId="49" fontId="4" fillId="23" borderId="11" xfId="0" applyNumberFormat="1" applyFont="1" applyFill="1" applyBorder="1" applyAlignment="1">
      <x:alignment horizontal="center" vertical="center" wrapText="1"/>
    </x:xf>
    <x:xf numFmtId="49" fontId="4" fillId="23" borderId="12" xfId="0" applyNumberFormat="1" applyFont="1" applyFill="1" applyBorder="1" applyAlignment="1">
      <x:alignment horizontal="center" vertical="center" wrapText="1"/>
    </x:xf>
    <x:xf numFmtId="49" fontId="4" fillId="23" borderId="13" xfId="0" applyNumberFormat="1" applyFont="1" applyFill="1" applyBorder="1" applyAlignment="1">
      <x:alignment horizontal="center" vertical="center" wrapText="1"/>
    </x:xf>
    <x:xf numFmtId="0" fontId="0" fillId="23" borderId="14" xfId="0" applyNumberFormat="1" applyFont="1" applyFill="1" applyBorder="1"/>
    <x:xf numFmtId="49" fontId="5" fillId="23" borderId="11" xfId="0" applyNumberFormat="1" applyFont="1" applyFill="1" applyBorder="1" applyAlignment="1">
      <x:alignment horizontal="left" vertical="top" wrapText="1"/>
    </x:xf>
    <x:xf numFmtId="49" fontId="5" fillId="23" borderId="12" xfId="0" applyNumberFormat="1" applyFont="1" applyFill="1" applyBorder="1" applyAlignment="1">
      <x:alignment horizontal="left" vertical="top" wrapText="1"/>
    </x:xf>
    <x:xf numFmtId="49" fontId="5" fillId="23" borderId="13" xfId="0" applyNumberFormat="1" applyFont="1" applyFill="1" applyBorder="1" applyAlignment="1">
      <x:alignment horizontal="left" vertical="top" wrapText="1"/>
    </x:xf>
    <x:xf numFmtId="49" fontId="5" fillId="23" borderId="15" xfId="0" applyNumberFormat="1" applyFont="1" applyFill="1" applyBorder="1" applyAlignment="1">
      <x:alignment horizontal="left" vertical="top" wrapText="1"/>
    </x:xf>
    <x:xf numFmtId="49" fontId="5" fillId="23" borderId="16" xfId="0" applyNumberFormat="1" applyFont="1" applyFill="1" applyBorder="1" applyAlignment="1">
      <x:alignment horizontal="left" vertical="top" wrapText="1"/>
    </x:xf>
    <x:xf numFmtId="49" fontId="5" fillId="23" borderId="17" xfId="0" applyNumberFormat="1" applyFont="1" applyFill="1" applyBorder="1" applyAlignment="1">
      <x:alignment horizontal="left" vertical="top" wrapText="1"/>
    </x:xf>
    <x:xf numFmtId="0" fontId="0" fillId="23" borderId="18" xfId="0" applyNumberFormat="1" applyFont="1" applyFill="1" applyBorder="1"/>
    <x:xf numFmtId="49" fontId="47" fillId="23" borderId="6" xfId="0" applyNumberFormat="1" applyFont="1" applyFill="1" applyBorder="1" applyAlignment="1">
      <x:alignment horizontal="left"/>
    </x:xf>
    <x:xf numFmtId="0" fontId="47" fillId="23" borderId="7" xfId="0" applyNumberFormat="1" applyFont="1" applyFill="1" applyBorder="1" applyAlignment="1">
      <x:alignment horizontal="left"/>
    </x:xf>
    <x:xf numFmtId="0" fontId="48" fillId="23" borderId="8" xfId="0" applyNumberFormat="1" applyFont="1" applyFill="1" applyBorder="1"/>
    <x:xf numFmtId="49" fontId="52" fillId="23" borderId="9" xfId="0" applyNumberFormat="1" applyFont="1" applyFill="1" applyBorder="1" applyAlignment="1">
      <x:alignment wrapText="1"/>
    </x:xf>
    <x:xf numFmtId="0" fontId="52" fillId="23" borderId="10" xfId="0" applyNumberFormat="1" applyFont="1" applyFill="1" applyBorder="1" applyAlignment="1">
      <x:alignment wrapText="1"/>
    </x:xf>
    <x:xf numFmtId="49" fontId="47" fillId="23" borderId="11" xfId="0" applyNumberFormat="1" applyFont="1" applyFill="1" applyBorder="1" applyAlignment="1">
      <x:alignment horizontal="center" vertical="center" wrapText="1"/>
    </x:xf>
    <x:xf numFmtId="49" fontId="47" fillId="23" borderId="12" xfId="0" applyNumberFormat="1" applyFont="1" applyFill="1" applyBorder="1" applyAlignment="1">
      <x:alignment horizontal="center" vertical="center" wrapText="1"/>
    </x:xf>
    <x:xf numFmtId="49" fontId="47" fillId="23" borderId="13" xfId="0" applyNumberFormat="1" applyFont="1" applyFill="1" applyBorder="1" applyAlignment="1">
      <x:alignment horizontal="center" vertical="center" wrapText="1"/>
    </x:xf>
    <x:xf numFmtId="0" fontId="48" fillId="23" borderId="14" xfId="0" applyNumberFormat="1" applyFont="1" applyFill="1" applyBorder="1"/>
    <x:xf numFmtId="49" fontId="48" fillId="23" borderId="11" xfId="0" applyNumberFormat="1" applyFont="1" applyFill="1" applyBorder="1" applyAlignment="1">
      <x:alignment horizontal="left" vertical="top" wrapText="1"/>
    </x:xf>
    <x:xf numFmtId="49" fontId="48" fillId="23" borderId="12" xfId="0" applyNumberFormat="1" applyFont="1" applyFill="1" applyBorder="1" applyAlignment="1">
      <x:alignment horizontal="left" vertical="top" wrapText="1"/>
    </x:xf>
    <x:xf numFmtId="49" fontId="48" fillId="23" borderId="13" xfId="0" applyNumberFormat="1" applyFont="1" applyFill="1" applyBorder="1" applyAlignment="1">
      <x:alignment horizontal="left" vertical="top" wrapText="1"/>
    </x:xf>
    <x:xf numFmtId="49" fontId="48" fillId="23" borderId="15" xfId="0" applyNumberFormat="1" applyFont="1" applyFill="1" applyBorder="1" applyAlignment="1">
      <x:alignment horizontal="left" vertical="top" wrapText="1"/>
    </x:xf>
    <x:xf numFmtId="49" fontId="48" fillId="23" borderId="16" xfId="0" applyNumberFormat="1" applyFont="1" applyFill="1" applyBorder="1" applyAlignment="1">
      <x:alignment horizontal="left" vertical="top" wrapText="1"/>
    </x:xf>
    <x:xf numFmtId="49" fontId="48" fillId="23" borderId="17" xfId="0" applyNumberFormat="1" applyFont="1" applyFill="1" applyBorder="1" applyAlignment="1">
      <x:alignment horizontal="left" vertical="top" wrapText="1"/>
    </x:xf>
    <x:xf numFmtId="0" fontId="48" fillId="23" borderId="18" xfId="0" applyNumberFormat="1" applyFont="1" applyFill="1" applyBorder="1"/>
    <x:xf numFmtId="49" fontId="47" fillId="23" borderId="6" xfId="0" applyNumberFormat="1" applyFont="1" applyFill="1" applyBorder="1" applyAlignment="1">
      <x:alignment horizontal="left" wrapText="1"/>
    </x:xf>
    <x:xf numFmtId="0" fontId="47" fillId="23" borderId="7" xfId="0" applyNumberFormat="1" applyFont="1" applyFill="1" applyBorder="1" applyAlignment="1">
      <x:alignment horizontal="left" wrapText="1"/>
    </x:xf>
    <x:xf numFmtId="0" fontId="48" fillId="23" borderId="8" xfId="0" applyNumberFormat="1" applyFont="1" applyFill="1" applyBorder="1" applyAlignment="1">
      <x:alignment wrapText="1"/>
    </x:xf>
    <x:xf numFmtId="0" fontId="48" fillId="23" borderId="14" xfId="0" applyNumberFormat="1" applyFont="1" applyFill="1" applyBorder="1" applyAlignment="1">
      <x:alignment wrapText="1"/>
    </x:xf>
    <x:xf numFmtId="0" fontId="48" fillId="23" borderId="18" xfId="0" applyNumberFormat="1" applyFont="1" applyFill="1" applyBorder="1" applyAlignment="1">
      <x:alignment wrapText="1"/>
    </x:xf>
    <x:xf numFmtId="49" fontId="47" fillId="23" borderId="6" xfId="0" applyNumberFormat="1" applyFont="1" applyFill="1" applyBorder="1" applyAlignment="1">
      <x:alignment horizontal="left" vertical="top" wrapText="1"/>
    </x:xf>
    <x:xf numFmtId="0" fontId="47" fillId="23" borderId="7" xfId="0" applyNumberFormat="1" applyFont="1" applyFill="1" applyBorder="1" applyAlignment="1">
      <x:alignment horizontal="left" vertical="top" wrapText="1"/>
    </x:xf>
    <x:xf numFmtId="0" fontId="48" fillId="23" borderId="8" xfId="0" applyNumberFormat="1" applyFont="1" applyFill="1" applyBorder="1" applyAlignment="1">
      <x:alignment vertical="top" wrapText="1"/>
    </x:xf>
    <x:xf numFmtId="49" fontId="52" fillId="23" borderId="9" xfId="0" applyNumberFormat="1" applyFont="1" applyFill="1" applyBorder="1" applyAlignment="1">
      <x:alignment vertical="top" wrapText="1"/>
    </x:xf>
    <x:xf numFmtId="0" fontId="52" fillId="23" borderId="10" xfId="0" applyNumberFormat="1" applyFont="1" applyFill="1" applyBorder="1" applyAlignment="1">
      <x:alignment vertical="top" wrapText="1"/>
    </x:xf>
    <x:xf numFmtId="49" fontId="47" fillId="23" borderId="11" xfId="0" applyNumberFormat="1" applyFont="1" applyFill="1" applyBorder="1" applyAlignment="1">
      <x:alignment horizontal="center" vertical="top" wrapText="1"/>
    </x:xf>
    <x:xf numFmtId="49" fontId="47" fillId="23" borderId="12" xfId="0" applyNumberFormat="1" applyFont="1" applyFill="1" applyBorder="1" applyAlignment="1">
      <x:alignment horizontal="center" vertical="top" wrapText="1"/>
    </x:xf>
    <x:xf numFmtId="49" fontId="47" fillId="23" borderId="13" xfId="0" applyNumberFormat="1" applyFont="1" applyFill="1" applyBorder="1" applyAlignment="1">
      <x:alignment horizontal="center" vertical="top" wrapText="1"/>
    </x:xf>
    <x:xf numFmtId="0" fontId="48" fillId="23" borderId="14" xfId="0" applyNumberFormat="1" applyFont="1" applyFill="1" applyBorder="1" applyAlignment="1">
      <x:alignment vertical="top" wrapText="1"/>
    </x:xf>
    <x:xf numFmtId="0" fontId="48" fillId="23" borderId="18" xfId="0" applyNumberFormat="1" applyFont="1" applyFill="1" applyBorder="1" applyAlignment="1">
      <x:alignment vertical="top" wrapText="1"/>
    </x:xf>
    <x:xf numFmtId="49" fontId="47" fillId="23" borderId="81" xfId="0" applyNumberFormat="1" applyFont="1" applyFill="1" applyBorder="1" applyAlignment="1">
      <x:alignment horizontal="left" vertical="top" wrapText="1"/>
    </x:xf>
    <x:xf numFmtId="0" fontId="47" fillId="23" borderId="82" xfId="0" applyNumberFormat="1" applyFont="1" applyFill="1" applyBorder="1" applyAlignment="1">
      <x:alignment horizontal="left" vertical="top" wrapText="1"/>
    </x:xf>
    <x:xf numFmtId="0" fontId="48" fillId="23" borderId="89" xfId="0" applyNumberFormat="1" applyFont="1" applyFill="1" applyBorder="1" applyAlignment="1">
      <x:alignment vertical="top" wrapText="1"/>
    </x:xf>
    <x:xf numFmtId="49" fontId="52" fillId="23" borderId="84" xfId="0" applyNumberFormat="1" applyFont="1" applyFill="1" applyBorder="1" applyAlignment="1">
      <x:alignment vertical="top" wrapText="1"/>
    </x:xf>
    <x:xf numFmtId="0" fontId="52" fillId="23" borderId="76" xfId="0" applyNumberFormat="1" applyFont="1" applyFill="1" applyBorder="1" applyAlignment="1">
      <x:alignment vertical="top" wrapText="1"/>
    </x:xf>
    <x:xf numFmtId="0" fontId="48" fillId="23" borderId="90" xfId="0" applyNumberFormat="1" applyFont="1" applyFill="1" applyBorder="1" applyAlignment="1">
      <x:alignment vertical="top" wrapText="1"/>
    </x:xf>
    <x:xf numFmtId="49" fontId="47" fillId="23" borderId="84" xfId="0" applyNumberFormat="1" applyFont="1" applyFill="1" applyBorder="1" applyAlignment="1">
      <x:alignment horizontal="center" vertical="top" wrapText="1"/>
    </x:xf>
    <x:xf numFmtId="49" fontId="47" fillId="23" borderId="76" xfId="0" applyNumberFormat="1" applyFont="1" applyFill="1" applyBorder="1" applyAlignment="1">
      <x:alignment horizontal="center" vertical="top" wrapText="1"/>
    </x:xf>
    <x:xf numFmtId="49" fontId="48" fillId="23" borderId="84" xfId="0" applyNumberFormat="1" applyFont="1" applyFill="1" applyBorder="1" applyAlignment="1">
      <x:alignment horizontal="left" vertical="top" wrapText="1"/>
    </x:xf>
    <x:xf numFmtId="49" fontId="48" fillId="23" borderId="76" xfId="0" applyNumberFormat="1" applyFont="1" applyFill="1" applyBorder="1" applyAlignment="1">
      <x:alignment horizontal="left" vertical="top" wrapText="1"/>
    </x:xf>
    <x:xf numFmtId="0" fontId="48" fillId="23" borderId="91" xfId="0" applyNumberFormat="1" applyFont="1" applyFill="1" applyBorder="1" applyAlignment="1">
      <x:alignment vertical="top" wrapText="1"/>
    </x:xf>
    <x:xf numFmtId="0" fontId="48" fillId="23" borderId="92" xfId="0" applyNumberFormat="1" applyFont="1" applyFill="1" applyBorder="1" applyAlignment="1">
      <x:alignment vertical="top" wrapText="1"/>
    </x:xf>
    <x:xf numFmtId="49" fontId="47" fillId="24" borderId="81" xfId="0" applyNumberFormat="1" applyFont="1" applyFill="1" applyBorder="1" applyAlignment="1">
      <x:alignment horizontal="left" vertical="top" wrapText="1"/>
    </x:xf>
    <x:xf numFmtId="49" fontId="49" fillId="24" borderId="81" xfId="0" applyNumberFormat="1" applyFont="1" applyFill="1" applyBorder="1" applyAlignment="1">
      <x:alignment horizontal="left" vertical="top" wrapText="1"/>
    </x:xf>
    <x:xf numFmtId="49" fontId="49" fillId="24" borderId="81" xfId="0" applyNumberFormat="1" applyFont="1" applyFill="1" applyBorder="1" applyAlignment="1">
      <x:alignment horizontal="left" vertical="center" wrapText="1"/>
    </x:xf>
    <x:xf numFmtId="49" fontId="47" fillId="25" borderId="84" xfId="0" applyNumberFormat="1" applyFont="1" applyFill="1" applyBorder="1" applyAlignment="1">
      <x:alignment horizontal="center" vertical="top" wrapText="1"/>
    </x:xf>
    <x:xf numFmtId="49" fontId="50" fillId="25" borderId="84" xfId="0" applyNumberFormat="1" applyFont="1" applyFill="1" applyBorder="1" applyAlignment="1">
      <x:alignment horizontal="center" vertical="top" wrapText="1"/>
    </x:xf>
    <x:xf numFmtId="49" fontId="50" fillId="25" borderId="76" xfId="0" applyNumberFormat="1" applyFont="1" applyFill="1" applyBorder="1" applyAlignment="1">
      <x:alignment horizontal="center" vertical="top" wrapText="1"/>
    </x:xf>
    <x:xf numFmtId="49" fontId="50" fillId="25" borderId="76" xfId="0" applyNumberFormat="1" applyFont="1" applyFill="1" applyBorder="1" applyAlignment="1">
      <x:alignment horizontal="center" vertical="center" wrapText="1"/>
    </x:xf>
    <x:xf numFmtId="49" fontId="2" fillId="23" borderId="6" xfId="0" applyNumberFormat="1" applyFont="1" applyFill="1" applyBorder="1" applyAlignment="1">
      <x:alignment horizontal="left" vertical="center"/>
    </x:xf>
    <x:xf numFmtId="0" fontId="2" fillId="23" borderId="7" xfId="0" applyNumberFormat="1" applyFont="1" applyFill="1" applyBorder="1" applyAlignment="1">
      <x:alignment horizontal="left" vertical="center"/>
    </x:xf>
    <x:xf numFmtId="49" fontId="3" fillId="23" borderId="9" xfId="0" applyNumberFormat="1" applyFont="1" applyFill="1" applyBorder="1" applyAlignment="1">
      <x:alignment horizontal="left" vertical="center" wrapText="1"/>
    </x:xf>
    <x:xf numFmtId="0" fontId="3" fillId="23" borderId="10" xfId="0" applyNumberFormat="1" applyFont="1" applyFill="1" applyBorder="1" applyAlignment="1">
      <x:alignment horizontal="left" vertical="center" wrapText="1"/>
    </x:xf>
    <x:xf numFmtId="49" fontId="5" fillId="23" borderId="11" xfId="0" applyNumberFormat="1" applyFont="1" applyFill="1" applyBorder="1" applyAlignment="1">
      <x:alignment horizontal="center" vertical="center"/>
    </x:xf>
    <x:xf numFmtId="49" fontId="5" fillId="23" borderId="12" xfId="0" applyNumberFormat="1" applyFont="1" applyFill="1" applyBorder="1" applyAlignment="1">
      <x:alignment horizontal="center" vertical="center"/>
    </x:xf>
    <x:xf numFmtId="49" fontId="5" fillId="23" borderId="12" xfId="0" applyNumberFormat="1" applyFont="1" applyFill="1" applyBorder="1" applyAlignment="1">
      <x:alignment horizontal="left" vertical="center" wrapText="1"/>
    </x:xf>
    <x:xf numFmtId="49" fontId="5" fillId="23" borderId="12" xfId="0" applyNumberFormat="1" applyFont="1" applyFill="1" applyBorder="1" applyAlignment="1">
      <x:alignment vertical="center"/>
    </x:xf>
    <x:xf numFmtId="200" fontId="5" fillId="23" borderId="12" xfId="0" applyNumberFormat="1" applyFont="1" applyFill="1" applyBorder="1" applyAlignment="1">
      <x:alignment horizontal="center" vertical="center"/>
    </x:xf>
    <x:xf numFmtId="0" fontId="5" fillId="23" borderId="12" xfId="0" applyNumberFormat="1" applyFont="1" applyFill="1" applyBorder="1" applyAlignment="1">
      <x:alignment horizontal="center" vertical="center"/>
    </x:xf>
    <x:xf numFmtId="49" fontId="5" fillId="23" borderId="13" xfId="0" applyNumberFormat="1" applyFont="1" applyFill="1" applyBorder="1" applyAlignment="1">
      <x:alignment horizontal="left" vertical="center" wrapText="1"/>
    </x:xf>
    <x:xf numFmtId="49" fontId="5" fillId="23" borderId="15" xfId="0" applyNumberFormat="1" applyFont="1" applyFill="1" applyBorder="1" applyAlignment="1">
      <x:alignment horizontal="center" vertical="center"/>
    </x:xf>
    <x:xf numFmtId="49" fontId="5" fillId="23" borderId="16" xfId="0" applyNumberFormat="1" applyFont="1" applyFill="1" applyBorder="1" applyAlignment="1">
      <x:alignment horizontal="center" vertical="center"/>
    </x:xf>
    <x:xf numFmtId="49" fontId="5" fillId="23" borderId="16" xfId="0" applyNumberFormat="1" applyFont="1" applyFill="1" applyBorder="1" applyAlignment="1">
      <x:alignment horizontal="left" vertical="center" wrapText="1"/>
    </x:xf>
    <x:xf numFmtId="49" fontId="5" fillId="23" borderId="16" xfId="0" applyNumberFormat="1" applyFont="1" applyFill="1" applyBorder="1" applyAlignment="1">
      <x:alignment vertical="center"/>
    </x:xf>
    <x:xf numFmtId="200" fontId="5" fillId="23" borderId="16" xfId="0" applyNumberFormat="1" applyFont="1" applyFill="1" applyBorder="1" applyAlignment="1">
      <x:alignment horizontal="center" vertical="center"/>
    </x:xf>
    <x:xf numFmtId="0" fontId="5" fillId="23" borderId="16" xfId="0" applyNumberFormat="1" applyFont="1" applyFill="1" applyBorder="1" applyAlignment="1">
      <x:alignment horizontal="center" vertical="center"/>
    </x:xf>
    <x:xf numFmtId="49" fontId="5" fillId="23" borderId="17" xfId="0" applyNumberFormat="1" applyFont="1" applyFill="1" applyBorder="1" applyAlignment="1">
      <x:alignment horizontal="left" vertical="center" wrapText="1"/>
    </x:xf>
    <x:xf numFmtId="200" fontId="0" fillId="23" borderId="18" xfId="0" applyNumberFormat="1" applyFont="1" applyFill="1" applyBorder="1"/>
    <x:xf numFmtId="200" fontId="0" fillId="23" borderId="0" xfId="0" applyNumberFormat="1" applyFont="1" applyFill="1" applyBorder="1"/>
    <x:xf numFmtId="49" fontId="47" fillId="23" borderId="6" xfId="0" applyNumberFormat="1" applyFont="1" applyFill="1" applyBorder="1" applyAlignment="1">
      <x:alignment horizontal="left" vertical="center"/>
    </x:xf>
    <x:xf numFmtId="0" fontId="47" fillId="23" borderId="7" xfId="0" applyNumberFormat="1" applyFont="1" applyFill="1" applyBorder="1" applyAlignment="1">
      <x:alignment horizontal="left" vertical="center"/>
    </x:xf>
    <x:xf numFmtId="49" fontId="52" fillId="23" borderId="9" xfId="0" applyNumberFormat="1" applyFont="1" applyFill="1" applyBorder="1" applyAlignment="1">
      <x:alignment horizontal="left" vertical="center" wrapText="1"/>
    </x:xf>
    <x:xf numFmtId="0" fontId="52" fillId="23" borderId="10" xfId="0" applyNumberFormat="1" applyFont="1" applyFill="1" applyBorder="1" applyAlignment="1">
      <x:alignment horizontal="left" vertical="center" wrapText="1"/>
    </x:xf>
    <x:xf numFmtId="49" fontId="48" fillId="23" borderId="11" xfId="0" applyNumberFormat="1" applyFont="1" applyFill="1" applyBorder="1" applyAlignment="1">
      <x:alignment horizontal="center" vertical="center"/>
    </x:xf>
    <x:xf numFmtId="49" fontId="48" fillId="23" borderId="12" xfId="0" applyNumberFormat="1" applyFont="1" applyFill="1" applyBorder="1" applyAlignment="1">
      <x:alignment horizontal="center" vertical="center"/>
    </x:xf>
    <x:xf numFmtId="49" fontId="48" fillId="23" borderId="12" xfId="0" applyNumberFormat="1" applyFont="1" applyFill="1" applyBorder="1" applyAlignment="1">
      <x:alignment horizontal="left" vertical="center" wrapText="1"/>
    </x:xf>
    <x:xf numFmtId="49" fontId="48" fillId="23" borderId="12" xfId="0" applyNumberFormat="1" applyFont="1" applyFill="1" applyBorder="1" applyAlignment="1">
      <x:alignment vertical="center"/>
    </x:xf>
    <x:xf numFmtId="200" fontId="48" fillId="23" borderId="12" xfId="0" applyNumberFormat="1" applyFont="1" applyFill="1" applyBorder="1" applyAlignment="1">
      <x:alignment horizontal="center" vertical="center"/>
    </x:xf>
    <x:xf numFmtId="0" fontId="48" fillId="23" borderId="12" xfId="0" applyNumberFormat="1" applyFont="1" applyFill="1" applyBorder="1" applyAlignment="1">
      <x:alignment horizontal="center" vertical="center"/>
    </x:xf>
    <x:xf numFmtId="49" fontId="48" fillId="23" borderId="13" xfId="0" applyNumberFormat="1" applyFont="1" applyFill="1" applyBorder="1" applyAlignment="1">
      <x:alignment horizontal="left" vertical="center" wrapText="1"/>
    </x:xf>
    <x:xf numFmtId="49" fontId="48" fillId="23" borderId="15" xfId="0" applyNumberFormat="1" applyFont="1" applyFill="1" applyBorder="1" applyAlignment="1">
      <x:alignment horizontal="center" vertical="center"/>
    </x:xf>
    <x:xf numFmtId="49" fontId="48" fillId="23" borderId="16" xfId="0" applyNumberFormat="1" applyFont="1" applyFill="1" applyBorder="1" applyAlignment="1">
      <x:alignment horizontal="center" vertical="center"/>
    </x:xf>
    <x:xf numFmtId="49" fontId="48" fillId="23" borderId="16" xfId="0" applyNumberFormat="1" applyFont="1" applyFill="1" applyBorder="1" applyAlignment="1">
      <x:alignment horizontal="left" vertical="center" wrapText="1"/>
    </x:xf>
    <x:xf numFmtId="49" fontId="48" fillId="23" borderId="16" xfId="0" applyNumberFormat="1" applyFont="1" applyFill="1" applyBorder="1" applyAlignment="1">
      <x:alignment vertical="center"/>
    </x:xf>
    <x:xf numFmtId="200" fontId="48" fillId="23" borderId="16" xfId="0" applyNumberFormat="1" applyFont="1" applyFill="1" applyBorder="1" applyAlignment="1">
      <x:alignment horizontal="center" vertical="center"/>
    </x:xf>
    <x:xf numFmtId="0" fontId="48" fillId="23" borderId="16" xfId="0" applyNumberFormat="1" applyFont="1" applyFill="1" applyBorder="1" applyAlignment="1">
      <x:alignment horizontal="center" vertical="center"/>
    </x:xf>
    <x:xf numFmtId="49" fontId="48" fillId="23" borderId="17" xfId="0" applyNumberFormat="1" applyFont="1" applyFill="1" applyBorder="1" applyAlignment="1">
      <x:alignment horizontal="left" vertical="center" wrapText="1"/>
    </x:xf>
    <x:xf numFmtId="200" fontId="48" fillId="23" borderId="18" xfId="0" applyNumberFormat="1" applyFont="1" applyFill="1" applyBorder="1"/>
    <x:xf numFmtId="200" fontId="48" fillId="23" borderId="0" xfId="0" applyNumberFormat="1" applyFont="1" applyFill="1" applyBorder="1"/>
    <x:xf numFmtId="49" fontId="47" fillId="23" borderId="6" xfId="0" applyNumberFormat="1" applyFont="1" applyFill="1" applyBorder="1" applyAlignment="1">
      <x:alignment horizontal="left" vertical="center" wrapText="1"/>
    </x:xf>
    <x:xf numFmtId="0" fontId="47" fillId="23" borderId="7" xfId="0" applyNumberFormat="1" applyFont="1" applyFill="1" applyBorder="1" applyAlignment="1">
      <x:alignment horizontal="left" vertical="center" wrapText="1"/>
    </x:xf>
    <x:xf numFmtId="49" fontId="48" fillId="23" borderId="11" xfId="0" applyNumberFormat="1" applyFont="1" applyFill="1" applyBorder="1" applyAlignment="1">
      <x:alignment horizontal="center" vertical="center" wrapText="1"/>
    </x:xf>
    <x:xf numFmtId="49" fontId="48" fillId="23" borderId="12" xfId="0" applyNumberFormat="1" applyFont="1" applyFill="1" applyBorder="1" applyAlignment="1">
      <x:alignment horizontal="center" vertical="center" wrapText="1"/>
    </x:xf>
    <x:xf numFmtId="49" fontId="48" fillId="23" borderId="12" xfId="0" applyNumberFormat="1" applyFont="1" applyFill="1" applyBorder="1" applyAlignment="1">
      <x:alignment vertical="center" wrapText="1"/>
    </x:xf>
    <x:xf numFmtId="200" fontId="48" fillId="23" borderId="12" xfId="0" applyNumberFormat="1" applyFont="1" applyFill="1" applyBorder="1" applyAlignment="1">
      <x:alignment horizontal="center" vertical="center" wrapText="1"/>
    </x:xf>
    <x:xf numFmtId="0" fontId="48" fillId="23" borderId="12" xfId="0" applyNumberFormat="1" applyFont="1" applyFill="1" applyBorder="1" applyAlignment="1">
      <x:alignment horizontal="center" vertical="center" wrapText="1"/>
    </x:xf>
    <x:xf numFmtId="49" fontId="48" fillId="23" borderId="15" xfId="0" applyNumberFormat="1" applyFont="1" applyFill="1" applyBorder="1" applyAlignment="1">
      <x:alignment horizontal="center" vertical="center" wrapText="1"/>
    </x:xf>
    <x:xf numFmtId="49" fontId="48" fillId="23" borderId="16" xfId="0" applyNumberFormat="1" applyFont="1" applyFill="1" applyBorder="1" applyAlignment="1">
      <x:alignment horizontal="center" vertical="center" wrapText="1"/>
    </x:xf>
    <x:xf numFmtId="49" fontId="48" fillId="23" borderId="16" xfId="0" applyNumberFormat="1" applyFont="1" applyFill="1" applyBorder="1" applyAlignment="1">
      <x:alignment vertical="center" wrapText="1"/>
    </x:xf>
    <x:xf numFmtId="200" fontId="48" fillId="23" borderId="16" xfId="0" applyNumberFormat="1" applyFont="1" applyFill="1" applyBorder="1" applyAlignment="1">
      <x:alignment horizontal="center" vertical="center" wrapText="1"/>
    </x:xf>
    <x:xf numFmtId="0" fontId="48" fillId="23" borderId="16" xfId="0" applyNumberFormat="1" applyFont="1" applyFill="1" applyBorder="1" applyAlignment="1">
      <x:alignment horizontal="center" vertical="center" wrapText="1"/>
    </x:xf>
    <x:xf numFmtId="200" fontId="48" fillId="23" borderId="18" xfId="0" applyNumberFormat="1" applyFont="1" applyFill="1" applyBorder="1" applyAlignment="1">
      <x:alignment wrapText="1"/>
    </x:xf>
    <x:xf numFmtId="200" fontId="48" fillId="23" borderId="0" xfId="0" applyNumberFormat="1" applyFont="1" applyFill="1" applyBorder="1" applyAlignment="1">
      <x:alignment wrapText="1"/>
    </x:xf>
    <x:xf numFmtId="49" fontId="52" fillId="23" borderId="9" xfId="0" applyNumberFormat="1" applyFont="1" applyFill="1" applyBorder="1" applyAlignment="1">
      <x:alignment horizontal="left" vertical="top" wrapText="1"/>
    </x:xf>
    <x:xf numFmtId="0" fontId="52" fillId="23" borderId="10" xfId="0" applyNumberFormat="1" applyFont="1" applyFill="1" applyBorder="1" applyAlignment="1">
      <x:alignment horizontal="left" vertical="top" wrapText="1"/>
    </x:xf>
    <x:xf numFmtId="49" fontId="48" fillId="23" borderId="11" xfId="0" applyNumberFormat="1" applyFont="1" applyFill="1" applyBorder="1" applyAlignment="1">
      <x:alignment horizontal="center" vertical="top" wrapText="1"/>
    </x:xf>
    <x:xf numFmtId="49" fontId="48" fillId="23" borderId="12" xfId="0" applyNumberFormat="1" applyFont="1" applyFill="1" applyBorder="1" applyAlignment="1">
      <x:alignment horizontal="center" vertical="top" wrapText="1"/>
    </x:xf>
    <x:xf numFmtId="49" fontId="48" fillId="23" borderId="12" xfId="0" applyNumberFormat="1" applyFont="1" applyFill="1" applyBorder="1" applyAlignment="1">
      <x:alignment vertical="top" wrapText="1"/>
    </x:xf>
    <x:xf numFmtId="200" fontId="48" fillId="23" borderId="12" xfId="0" applyNumberFormat="1" applyFont="1" applyFill="1" applyBorder="1" applyAlignment="1">
      <x:alignment horizontal="center" vertical="top" wrapText="1"/>
    </x:xf>
    <x:xf numFmtId="0" fontId="48" fillId="23" borderId="12" xfId="0" applyNumberFormat="1" applyFont="1" applyFill="1" applyBorder="1" applyAlignment="1">
      <x:alignment horizontal="center" vertical="top" wrapText="1"/>
    </x:xf>
    <x:xf numFmtId="49" fontId="48" fillId="23" borderId="15" xfId="0" applyNumberFormat="1" applyFont="1" applyFill="1" applyBorder="1" applyAlignment="1">
      <x:alignment horizontal="center" vertical="top" wrapText="1"/>
    </x:xf>
    <x:xf numFmtId="49" fontId="48" fillId="23" borderId="16" xfId="0" applyNumberFormat="1" applyFont="1" applyFill="1" applyBorder="1" applyAlignment="1">
      <x:alignment horizontal="center" vertical="top" wrapText="1"/>
    </x:xf>
    <x:xf numFmtId="49" fontId="48" fillId="23" borderId="16" xfId="0" applyNumberFormat="1" applyFont="1" applyFill="1" applyBorder="1" applyAlignment="1">
      <x:alignment vertical="top" wrapText="1"/>
    </x:xf>
    <x:xf numFmtId="200" fontId="48" fillId="23" borderId="16" xfId="0" applyNumberFormat="1" applyFont="1" applyFill="1" applyBorder="1" applyAlignment="1">
      <x:alignment horizontal="center" vertical="top" wrapText="1"/>
    </x:xf>
    <x:xf numFmtId="0" fontId="48" fillId="23" borderId="16" xfId="0" applyNumberFormat="1" applyFont="1" applyFill="1" applyBorder="1" applyAlignment="1">
      <x:alignment horizontal="center" vertical="top" wrapText="1"/>
    </x:xf>
    <x:xf numFmtId="200" fontId="48" fillId="23" borderId="18" xfId="0" applyNumberFormat="1" applyFont="1" applyFill="1" applyBorder="1" applyAlignment="1">
      <x:alignment vertical="top" wrapText="1"/>
    </x:xf>
    <x:xf numFmtId="200" fontId="48" fillId="23" borderId="0" xfId="0" applyNumberFormat="1" applyFont="1" applyFill="1" applyBorder="1" applyAlignment="1">
      <x:alignment vertical="top" wrapText="1"/>
    </x:xf>
    <x:xf numFmtId="49" fontId="52" fillId="23" borderId="84" xfId="0" applyNumberFormat="1" applyFont="1" applyFill="1" applyBorder="1" applyAlignment="1">
      <x:alignment horizontal="left" vertical="top" wrapText="1"/>
    </x:xf>
    <x:xf numFmtId="0" fontId="52" fillId="23" borderId="76" xfId="0" applyNumberFormat="1" applyFont="1" applyFill="1" applyBorder="1" applyAlignment="1">
      <x:alignment horizontal="left" vertical="top" wrapText="1"/>
    </x:xf>
    <x:xf numFmtId="49" fontId="48" fillId="23" borderId="84" xfId="0" applyNumberFormat="1" applyFont="1" applyFill="1" applyBorder="1" applyAlignment="1">
      <x:alignment horizontal="center" vertical="top" wrapText="1"/>
    </x:xf>
    <x:xf numFmtId="49" fontId="48" fillId="23" borderId="76" xfId="0" applyNumberFormat="1" applyFont="1" applyFill="1" applyBorder="1" applyAlignment="1">
      <x:alignment horizontal="center" vertical="top" wrapText="1"/>
    </x:xf>
    <x:xf numFmtId="200" fontId="48" fillId="23" borderId="76" xfId="0" applyNumberFormat="1" applyFont="1" applyFill="1" applyBorder="1" applyAlignment="1">
      <x:alignment horizontal="center" vertical="top" wrapText="1"/>
    </x:xf>
    <x:xf numFmtId="0" fontId="48" fillId="23" borderId="76" xfId="0" applyNumberFormat="1" applyFont="1" applyFill="1" applyBorder="1" applyAlignment="1">
      <x:alignment horizontal="center" vertical="top" wrapText="1"/>
    </x:xf>
    <x:xf numFmtId="200" fontId="48" fillId="23" borderId="76" xfId="0" applyNumberFormat="1" applyFont="1" applyFill="1" applyBorder="1" applyAlignment="1">
      <x:alignment vertical="top" wrapText="1"/>
    </x:xf>
    <x:xf numFmtId="200" fontId="48" fillId="23" borderId="79" xfId="0" applyNumberFormat="1" applyFont="1" applyFill="1" applyBorder="1" applyAlignment="1">
      <x:alignment vertical="top" wrapText="1"/>
    </x:xf>
    <x:xf numFmtId="49" fontId="5" fillId="23" borderId="11" xfId="0" applyNumberFormat="1" applyFont="1" applyFill="1" applyBorder="1" applyAlignment="1">
      <x:alignment horizontal="center" vertical="top" wrapText="1"/>
    </x:xf>
    <x:xf numFmtId="49" fontId="5" fillId="23" borderId="12" xfId="0" applyNumberFormat="1" applyFont="1" applyFill="1" applyBorder="1" applyAlignment="1">
      <x:alignment horizontal="center" vertical="top" wrapText="1"/>
    </x:xf>
    <x:xf numFmtId="49" fontId="5" fillId="23" borderId="15" xfId="0" applyNumberFormat="1" applyFont="1" applyFill="1" applyBorder="1" applyAlignment="1">
      <x:alignment horizontal="center" vertical="top" wrapText="1"/>
    </x:xf>
    <x:xf numFmtId="49" fontId="5" fillId="23" borderId="16" xfId="0" applyNumberFormat="1" applyFont="1" applyFill="1" applyBorder="1" applyAlignment="1">
      <x:alignment horizontal="center" vertical="top" wrapText="1"/>
    </x:xf>
    <x:xf numFmtId="49" fontId="6" fillId="23" borderId="6" xfId="0" applyNumberFormat="1" applyFont="1" applyFill="1" applyBorder="1" applyAlignment="1">
      <x:alignment vertical="top" wrapText="1"/>
    </x:xf>
    <x:xf numFmtId="49" fontId="7" fillId="23" borderId="19" xfId="0" applyNumberFormat="1" applyFont="1" applyFill="1" applyBorder="1" applyAlignment="1">
      <x:alignment vertical="top" wrapText="1"/>
    </x:xf>
    <x:xf numFmtId="0" fontId="0" fillId="23" borderId="20" xfId="0" applyNumberFormat="1" applyFont="1" applyFill="1" applyBorder="1"/>
    <x:xf numFmtId="0" fontId="8" fillId="23" borderId="21" xfId="0" applyNumberFormat="1" applyFont="1" applyFill="1" applyBorder="1" applyAlignment="1">
      <x:alignment vertical="top" wrapText="1"/>
    </x:xf>
    <x:xf numFmtId="49" fontId="9" fillId="23" borderId="22" xfId="0" applyNumberFormat="1" applyFont="1" applyFill="1" applyBorder="1" applyAlignment="1">
      <x:alignment vertical="top" wrapText="1"/>
    </x:xf>
    <x:xf numFmtId="0" fontId="0" fillId="23" borderId="23" xfId="0" applyNumberFormat="1" applyFont="1" applyFill="1" applyBorder="1"/>
    <x:xf numFmtId="49" fontId="8" fillId="23" borderId="24" xfId="0" applyNumberFormat="1" applyFont="1" applyFill="1" applyBorder="1" applyAlignment="1">
      <x:alignment vertical="top" wrapText="1"/>
    </x:xf>
    <x:xf numFmtId="49" fontId="8" fillId="23" borderId="25" xfId="0" applyNumberFormat="1" applyFont="1" applyFill="1" applyBorder="1" applyAlignment="1">
      <x:alignment vertical="top" wrapText="1"/>
    </x:xf>
    <x:xf numFmtId="0" fontId="8" fillId="23" borderId="25" xfId="0" applyNumberFormat="1" applyFont="1" applyFill="1" applyBorder="1" applyAlignment="1">
      <x:alignment vertical="top" wrapText="1"/>
    </x:xf>
    <x:xf numFmtId="49" fontId="8" fillId="23" borderId="26" xfId="0" applyNumberFormat="1" applyFont="1" applyFill="1" applyBorder="1" applyAlignment="1">
      <x:alignment vertical="top" wrapText="1"/>
    </x:xf>
    <x:xf numFmtId="0" fontId="8" fillId="23" borderId="26" xfId="0" applyNumberFormat="1" applyFont="1" applyFill="1" applyBorder="1" applyAlignment="1">
      <x:alignment vertical="top" wrapText="1"/>
    </x:xf>
    <x:xf numFmtId="49" fontId="8" fillId="23" borderId="27" xfId="0" applyNumberFormat="1" applyFont="1" applyFill="1" applyBorder="1" applyAlignment="1">
      <x:alignment vertical="top" wrapText="1"/>
    </x:xf>
    <x:xf numFmtId="49" fontId="8" fillId="23" borderId="28" xfId="0" applyNumberFormat="1" applyFont="1" applyFill="1" applyBorder="1" applyAlignment="1">
      <x:alignment vertical="top" wrapText="1"/>
    </x:xf>
    <x:xf numFmtId="0" fontId="8" fillId="23" borderId="28" xfId="0" applyNumberFormat="1" applyFont="1" applyFill="1" applyBorder="1" applyAlignment="1">
      <x:alignment vertical="top" wrapText="1"/>
    </x:xf>
    <x:xf numFmtId="0" fontId="8" fillId="23" borderId="29" xfId="0" applyNumberFormat="1" applyFont="1" applyFill="1" applyBorder="1" applyAlignment="1">
      <x:alignment vertical="top" wrapText="1"/>
    </x:xf>
    <x:xf numFmtId="0" fontId="8" fillId="23" borderId="30" xfId="0" applyNumberFormat="1" applyFont="1" applyFill="1" applyBorder="1" applyAlignment="1">
      <x:alignment vertical="top" wrapText="1"/>
    </x:xf>
    <x:xf numFmtId="0" fontId="8" fillId="23" borderId="31" xfId="0" applyNumberFormat="1" applyFont="1" applyFill="1" applyBorder="1" applyAlignment="1">
      <x:alignment vertical="top" wrapText="1"/>
    </x:xf>
    <x:xf numFmtId="0" fontId="8" fillId="23" borderId="32"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49" fontId="9" fillId="23" borderId="33" xfId="0" applyNumberFormat="1" applyFont="1" applyFill="1" applyBorder="1" applyAlignment="1">
      <x:alignment vertical="top" wrapText="1"/>
    </x:xf>
    <x:xf numFmtId="0" fontId="0" fillId="23" borderId="34" xfId="0" applyNumberFormat="1" applyFont="1" applyFill="1" applyBorder="1"/>
    <x:xf numFmtId="0" fontId="0" fillId="23" borderId="21" xfId="0" applyNumberFormat="1" applyFont="1" applyFill="1" applyBorder="1"/>
    <x:xf numFmtId="0" fontId="8" fillId="23" borderId="23" xfId="0" applyNumberFormat="1" applyFont="1" applyFill="1" applyBorder="1" applyAlignment="1">
      <x:alignment vertical="top" wrapText="1"/>
    </x:xf>
    <x:xf numFmtId="0" fontId="8" fillId="23" borderId="2" xfId="0" applyNumberFormat="1" applyFont="1" applyFill="1" applyBorder="1" applyAlignment="1">
      <x:alignment vertical="top" wrapText="1"/>
    </x:xf>
    <x:xf numFmtId="49" fontId="8" fillId="23" borderId="35" xfId="0" applyNumberFormat="1" applyFont="1" applyFill="1" applyBorder="1" applyAlignment="1">
      <x:alignment vertical="top" wrapText="1"/>
    </x:xf>
    <x:xf numFmtId="0" fontId="8" fillId="23" borderId="35" xfId="0" applyNumberFormat="1" applyFont="1" applyFill="1" applyBorder="1" applyAlignment="1">
      <x:alignment vertical="top" wrapText="1"/>
    </x:xf>
    <x:xf numFmtId="49" fontId="47" fillId="23" borderId="6" xfId="0" applyNumberFormat="1" applyFont="1" applyFill="1" applyBorder="1" applyAlignment="1">
      <x:alignment vertical="top" wrapText="1"/>
    </x:xf>
    <x:xf numFmtId="49" fontId="52" fillId="23" borderId="19" xfId="0" applyNumberFormat="1" applyFont="1" applyFill="1" applyBorder="1" applyAlignment="1">
      <x:alignment vertical="top" wrapText="1"/>
    </x:xf>
    <x:xf numFmtId="0" fontId="48" fillId="23" borderId="20" xfId="0" applyNumberFormat="1" applyFont="1" applyFill="1" applyBorder="1"/>
    <x:xf numFmtId="0" fontId="48" fillId="23" borderId="21" xfId="0" applyNumberFormat="1" applyFont="1" applyFill="1" applyBorder="1" applyAlignment="1">
      <x:alignment vertical="top" wrapText="1"/>
    </x:xf>
    <x:xf numFmtId="49" fontId="47" fillId="23" borderId="22" xfId="0" applyNumberFormat="1" applyFont="1" applyFill="1" applyBorder="1" applyAlignment="1">
      <x:alignment vertical="top" wrapText="1"/>
    </x:xf>
    <x:xf numFmtId="0" fontId="48" fillId="23" borderId="23" xfId="0" applyNumberFormat="1" applyFont="1" applyFill="1" applyBorder="1"/>
    <x:xf numFmtId="49" fontId="48" fillId="23" borderId="24" xfId="0" applyNumberFormat="1" applyFont="1" applyFill="1" applyBorder="1" applyAlignment="1">
      <x:alignment vertical="top" wrapText="1"/>
    </x:xf>
    <x:xf numFmtId="49" fontId="48" fillId="23" borderId="25" xfId="0" applyNumberFormat="1" applyFont="1" applyFill="1" applyBorder="1" applyAlignment="1">
      <x:alignment vertical="top" wrapText="1"/>
    </x:xf>
    <x:xf numFmtId="0" fontId="48" fillId="23" borderId="25" xfId="0" applyNumberFormat="1" applyFont="1" applyFill="1" applyBorder="1" applyAlignment="1">
      <x:alignment vertical="top" wrapText="1"/>
    </x:xf>
    <x:xf numFmtId="49" fontId="48" fillId="23" borderId="26" xfId="0" applyNumberFormat="1" applyFont="1" applyFill="1" applyBorder="1" applyAlignment="1">
      <x:alignment vertical="top" wrapText="1"/>
    </x:xf>
    <x:xf numFmtId="0" fontId="48" fillId="23" borderId="26" xfId="0" applyNumberFormat="1" applyFont="1" applyFill="1" applyBorder="1" applyAlignment="1">
      <x:alignment vertical="top" wrapText="1"/>
    </x:xf>
    <x:xf numFmtId="49" fontId="48" fillId="23" borderId="27" xfId="0" applyNumberFormat="1" applyFont="1" applyFill="1" applyBorder="1" applyAlignment="1">
      <x:alignment vertical="top" wrapText="1"/>
    </x:xf>
    <x:xf numFmtId="49" fontId="48" fillId="23" borderId="28" xfId="0" applyNumberFormat="1" applyFont="1" applyFill="1" applyBorder="1" applyAlignment="1">
      <x:alignment vertical="top" wrapText="1"/>
    </x:xf>
    <x:xf numFmtId="0" fontId="48" fillId="23" borderId="28" xfId="0" applyNumberFormat="1" applyFont="1" applyFill="1" applyBorder="1" applyAlignment="1">
      <x:alignment vertical="top" wrapText="1"/>
    </x:xf>
    <x:xf numFmtId="0" fontId="48" fillId="23" borderId="29" xfId="0" applyNumberFormat="1" applyFont="1" applyFill="1" applyBorder="1" applyAlignment="1">
      <x:alignment vertical="top" wrapText="1"/>
    </x:xf>
    <x:xf numFmtId="0" fontId="48" fillId="23" borderId="30" xfId="0" applyNumberFormat="1" applyFont="1" applyFill="1" applyBorder="1" applyAlignment="1">
      <x:alignment vertical="top" wrapText="1"/>
    </x:xf>
    <x:xf numFmtId="0" fontId="48" fillId="23" borderId="31" xfId="0" applyNumberFormat="1" applyFont="1" applyFill="1" applyBorder="1" applyAlignment="1">
      <x:alignment vertical="top" wrapText="1"/>
    </x:xf>
    <x:xf numFmtId="0" fontId="48" fillId="23" borderId="32" xfId="0" applyNumberFormat="1" applyFont="1" applyFill="1" applyBorder="1" applyAlignment="1">
      <x:alignment vertical="top" wrapText="1"/>
    </x:xf>
    <x:xf numFmtId="0" fontId="48" fillId="23" borderId="5" xfId="0" applyNumberFormat="1" applyFont="1" applyFill="1" applyBorder="1" applyAlignment="1">
      <x:alignment vertical="top" wrapText="1"/>
    </x:xf>
    <x:xf numFmtId="49" fontId="47" fillId="23" borderId="33" xfId="0" applyNumberFormat="1" applyFont="1" applyFill="1" applyBorder="1" applyAlignment="1">
      <x:alignment vertical="top" wrapText="1"/>
    </x:xf>
    <x:xf numFmtId="0" fontId="48" fillId="23" borderId="34" xfId="0" applyNumberFormat="1" applyFont="1" applyFill="1" applyBorder="1"/>
    <x:xf numFmtId="0" fontId="48" fillId="23" borderId="21" xfId="0" applyNumberFormat="1" applyFont="1" applyFill="1" applyBorder="1"/>
    <x:xf numFmtId="0" fontId="48" fillId="23" borderId="23" xfId="0" applyNumberFormat="1" applyFont="1" applyFill="1" applyBorder="1" applyAlignment="1">
      <x:alignment vertical="top" wrapText="1"/>
    </x:xf>
    <x:xf numFmtId="49" fontId="48" fillId="23" borderId="35" xfId="0" applyNumberFormat="1" applyFont="1" applyFill="1" applyBorder="1" applyAlignment="1">
      <x:alignment vertical="top" wrapText="1"/>
    </x:xf>
    <x:xf numFmtId="0" fontId="48" fillId="23" borderId="35" xfId="0" applyNumberFormat="1" applyFont="1" applyFill="1" applyBorder="1" applyAlignment="1">
      <x:alignment vertical="top" wrapText="1"/>
    </x:xf>
    <x:xf numFmtId="0" fontId="48" fillId="23" borderId="20" xfId="0" applyNumberFormat="1" applyFont="1" applyFill="1" applyBorder="1" applyAlignment="1">
      <x:alignment wrapText="1"/>
    </x:xf>
    <x:xf numFmtId="0" fontId="48" fillId="23" borderId="23" xfId="0" applyNumberFormat="1" applyFont="1" applyFill="1" applyBorder="1" applyAlignment="1">
      <x:alignment wrapText="1"/>
    </x:xf>
    <x:xf numFmtId="0" fontId="48" fillId="23" borderId="34" xfId="0" applyNumberFormat="1" applyFont="1" applyFill="1" applyBorder="1" applyAlignment="1">
      <x:alignment wrapText="1"/>
    </x:xf>
    <x:xf numFmtId="0" fontId="48" fillId="23" borderId="21" xfId="0" applyNumberFormat="1" applyFont="1" applyFill="1" applyBorder="1" applyAlignment="1">
      <x:alignment wrapText="1"/>
    </x:xf>
    <x:xf numFmtId="0" fontId="48" fillId="23" borderId="20" xfId="0" applyNumberFormat="1" applyFont="1" applyFill="1" applyBorder="1" applyAlignment="1">
      <x:alignment vertical="top" wrapText="1"/>
    </x:xf>
    <x:xf numFmtId="0" fontId="48" fillId="23" borderId="34" xfId="0" applyNumberFormat="1" applyFont="1" applyFill="1" applyBorder="1" applyAlignment="1">
      <x:alignment vertical="top" wrapText="1"/>
    </x:xf>
    <x:xf numFmtId="49" fontId="47" fillId="23" borderId="81" xfId="0" applyNumberFormat="1" applyFont="1" applyFill="1" applyBorder="1" applyAlignment="1">
      <x:alignment vertical="top" wrapText="1"/>
    </x:xf>
    <x:xf numFmtId="49" fontId="48" fillId="23" borderId="91" xfId="0" applyNumberFormat="1" applyFont="1" applyFill="1" applyBorder="1" applyAlignment="1">
      <x:alignment vertical="top" wrapText="1"/>
    </x:xf>
    <x:xf numFmtId="49" fontId="48" fillId="23" borderId="79" xfId="0" applyNumberFormat="1" applyFont="1" applyFill="1" applyBorder="1" applyAlignment="1">
      <x:alignment vertical="top" wrapText="1"/>
    </x:xf>
    <x:xf numFmtId="49" fontId="47" fillId="24" borderId="81" xfId="0" applyNumberFormat="1" applyFont="1" applyFill="1" applyBorder="1" applyAlignment="1">
      <x:alignment vertical="top" wrapText="1"/>
    </x:xf>
    <x:xf numFmtId="49" fontId="47" fillId="26" borderId="84" xfId="0" applyNumberFormat="1" applyFont="1" applyFill="1" applyBorder="1" applyAlignment="1">
      <x:alignment vertical="top" wrapText="1"/>
    </x:xf>
    <x:xf numFmtId="49" fontId="51" fillId="26" borderId="84" xfId="0" applyNumberFormat="1" applyFont="1" applyFill="1" applyBorder="1" applyAlignment="1">
      <x:alignment vertical="top" wrapText="1"/>
    </x:xf>
    <x:xf numFmtId="49" fontId="51" fillId="26" borderId="84" xfId="0" applyNumberFormat="1" applyFont="1" applyFill="1" applyBorder="1" applyAlignment="1">
      <x:alignment vertical="center" wrapText="1"/>
    </x:xf>
    <x:xf numFmtId="49" fontId="48" fillId="27" borderId="84" xfId="0" applyNumberFormat="1" applyFont="1" applyFill="1" applyBorder="1" applyAlignment="1">
      <x:alignment vertical="top" wrapText="1"/>
    </x:xf>
    <x:xf numFmtId="0" fontId="48" fillId="27" borderId="76" xfId="0" applyNumberFormat="1" applyFont="1" applyFill="1" applyBorder="1" applyAlignment="1">
      <x:alignment vertical="top" wrapText="1"/>
    </x:xf>
    <x:xf numFmtId="49" fontId="48" fillId="27" borderId="76" xfId="0" applyNumberFormat="1" applyFont="1" applyFill="1" applyBorder="1" applyAlignment="1">
      <x:alignment vertical="top" wrapText="1"/>
    </x:xf>
    <x:xf numFmtId="49" fontId="53" fillId="27" borderId="84" xfId="0" applyNumberFormat="1" applyFont="1" applyFill="1" applyBorder="1" applyAlignment="1">
      <x:alignment vertical="top" wrapText="1"/>
    </x:xf>
    <x:xf numFmtId="0" fontId="53" fillId="27" borderId="76" xfId="0" applyNumberFormat="1" applyFont="1" applyFill="1" applyBorder="1" applyAlignment="1">
      <x:alignment vertical="top" wrapText="1"/>
    </x:xf>
    <x:xf numFmtId="49" fontId="53" fillId="27" borderId="76" xfId="0" applyNumberFormat="1" applyFont="1" applyFill="1" applyBorder="1" applyAlignment="1">
      <x:alignment vertical="top" wrapText="1"/>
    </x:xf>
    <x:xf numFmtId="49" fontId="48" fillId="28" borderId="91" xfId="0" applyNumberFormat="1" applyFont="1" applyFill="1" applyBorder="1" applyAlignment="1">
      <x:alignment vertical="top" wrapText="1"/>
    </x:xf>
    <x:xf numFmtId="0" fontId="48" fillId="28" borderId="79" xfId="0" applyNumberFormat="1" applyFont="1" applyFill="1" applyBorder="1" applyAlignment="1">
      <x:alignment vertical="top" wrapText="1"/>
    </x:xf>
    <x:xf numFmtId="49" fontId="48" fillId="28" borderId="79" xfId="0" applyNumberFormat="1" applyFont="1" applyFill="1" applyBorder="1" applyAlignment="1">
      <x:alignment vertical="top" wrapText="1"/>
    </x:xf>
    <x:xf numFmtId="49" fontId="54" fillId="28" borderId="91" xfId="0" applyNumberFormat="1" applyFont="1" applyFill="1" applyBorder="1" applyAlignment="1">
      <x:alignment vertical="top" wrapText="1"/>
    </x:xf>
    <x:xf numFmtId="0" fontId="54" fillId="28" borderId="79" xfId="0" applyNumberFormat="1" applyFont="1" applyFill="1" applyBorder="1" applyAlignment="1">
      <x:alignment vertical="top" wrapText="1"/>
    </x:xf>
    <x:xf numFmtId="49" fontId="54" fillId="28" borderId="79" xfId="0" applyNumberFormat="1" applyFont="1" applyFill="1" applyBorder="1" applyAlignment="1">
      <x:alignment vertical="top" wrapText="1"/>
    </x:xf>
    <x:xf numFmtId="49" fontId="54" fillId="28" borderId="76" xfId="0" applyNumberFormat="1" applyFont="1" applyFill="1" applyBorder="1" applyAlignment="1">
      <x:alignment vertical="top" wrapText="1"/>
    </x:xf>
    <x:xf numFmtId="0" fontId="54" fillId="28" borderId="76" xfId="0" applyNumberFormat="1" applyFont="1" applyFill="1" applyBorder="1" applyAlignment="1">
      <x:alignment vertical="top" wrapText="1"/>
    </x:xf>
    <x:xf numFmtId="0" fontId="48" fillId="29" borderId="76" xfId="0" applyNumberFormat="1" applyFont="1" applyFill="1" applyBorder="1" applyAlignment="1">
      <x:alignment vertical="top" wrapText="1"/>
    </x:xf>
    <x:xf numFmtId="0" fontId="55" fillId="29" borderId="76" xfId="0" applyNumberFormat="1" applyFont="1" applyFill="1" applyBorder="1" applyAlignment="1">
      <x:alignment vertical="top" wrapText="1"/>
    </x:xf>
    <x:xf numFmtId="0" fontId="48" fillId="24" borderId="0" xfId="0" applyNumberFormat="1" applyFont="1" applyFill="1" applyBorder="1" applyAlignment="1">
      <x:alignment vertical="top" wrapText="1"/>
    </x:xf>
    <x:xf numFmtId="0" fontId="49" fillId="24" borderId="0" xfId="0" applyNumberFormat="1" applyFont="1" applyFill="1" applyBorder="1" applyAlignment="1">
      <x:alignment vertical="top" wrapText="1"/>
    </x:xf>
    <x:xf numFmtId="0" fontId="49" fillId="24" borderId="0" xfId="0" applyNumberFormat="1" applyFont="1" applyFill="1" applyBorder="1" applyAlignment="1">
      <x:alignment vertical="center" wrapText="1"/>
    </x:xf>
    <x:xf numFmtId="0" fontId="48" fillId="30" borderId="0" xfId="0" applyNumberFormat="1" applyFont="1" applyFill="1" applyBorder="1" applyAlignment="1">
      <x:alignment vertical="top" wrapText="1"/>
    </x:xf>
    <x:xf numFmtId="0" fontId="56" fillId="30" borderId="0" xfId="0" applyNumberFormat="1" applyFont="1" applyFill="1" applyBorder="1" applyAlignment="1">
      <x:alignment vertical="top" wrapText="1"/>
    </x:xf>
    <x:xf numFmtId="0" fontId="48" fillId="26" borderId="0" xfId="0" applyNumberFormat="1" applyFont="1" applyFill="1" applyBorder="1" applyAlignment="1">
      <x:alignment vertical="top" wrapText="1"/>
    </x:xf>
    <x:xf numFmtId="0" fontId="51" fillId="26" borderId="0" xfId="0" applyNumberFormat="1" applyFont="1" applyFill="1" applyBorder="1" applyAlignment="1">
      <x:alignment vertical="top" wrapText="1"/>
    </x:xf>
    <x:xf numFmtId="0" fontId="51" fillId="26" borderId="0" xfId="0" applyNumberFormat="1" applyFont="1" applyFill="1" applyBorder="1" applyAlignment="1">
      <x:alignment vertical="center" wrapText="1"/>
    </x:xf>
    <x:xf numFmtId="0" fontId="48" fillId="25" borderId="0" xfId="0" applyNumberFormat="1" applyFont="1" applyFill="1" applyBorder="1" applyAlignment="1">
      <x:alignment vertical="top" wrapText="1"/>
    </x:xf>
    <x:xf numFmtId="0" fontId="50" fillId="25" borderId="0" xfId="0" applyNumberFormat="1" applyFont="1" applyFill="1" applyBorder="1" applyAlignment="1">
      <x:alignment vertical="top" wrapText="1"/>
    </x:xf>
    <x:xf numFmtId="0" fontId="50" fillId="25" borderId="76" xfId="0" applyNumberFormat="1" applyFont="1" applyFill="1" applyBorder="1" applyAlignment="1">
      <x:alignment vertical="top" wrapText="1"/>
    </x:xf>
    <x:xf numFmtId="0" fontId="50" fillId="25" borderId="76" xfId="0" applyNumberFormat="1" applyFont="1" applyFill="1" applyBorder="1" applyAlignment="1">
      <x:alignment vertical="center" wrapText="1"/>
    </x:xf>
    <x:xf numFmtId="0" fontId="48" fillId="23" borderId="93" xfId="0" applyNumberFormat="1" applyFont="1" applyFill="1" applyBorder="1" applyAlignment="1">
      <x:alignment vertical="top" wrapText="1"/>
    </x:xf>
    <x:xf numFmtId="0" fontId="48" fillId="23" borderId="94" xfId="0" applyNumberFormat="1" applyFont="1" applyFill="1" applyBorder="1" applyAlignment="1">
      <x:alignment vertical="top" wrapText="1"/>
    </x:xf>
    <x:xf numFmtId="0" fontId="48" fillId="23" borderId="95" xfId="0" applyNumberFormat="1" applyFont="1" applyFill="1" applyBorder="1" applyAlignment="1">
      <x:alignment vertical="top" wrapText="1"/>
    </x:xf>
    <x:xf numFmtId="0" fontId="48" fillId="23" borderId="96" xfId="0" applyNumberFormat="1" applyFont="1" applyFill="1" applyBorder="1" applyAlignment="1">
      <x:alignment vertical="top" wrapText="1"/>
    </x:xf>
    <x:xf numFmtId="0" fontId="50" fillId="23" borderId="76" xfId="0" applyNumberFormat="1" applyFont="1" applyFill="1" applyBorder="1" applyAlignment="1">
      <x:alignment vertical="center" wrapText="1"/>
    </x:xf>
    <x:xf numFmtId="0" fontId="47" fillId="23" borderId="76" xfId="0" applyNumberFormat="1" applyFont="1" applyFill="1" applyBorder="1" applyAlignment="1">
      <x:alignment vertical="center" wrapText="1"/>
    </x:xf>
    <x:xf numFmtId="0" fontId="56" fillId="30" borderId="92" xfId="0" applyNumberFormat="1" applyFont="1" applyFill="1" applyBorder="1" applyAlignment="1">
      <x:alignment vertical="top" wrapText="1"/>
    </x:xf>
    <x:xf numFmtId="0" fontId="56" fillId="30" borderId="97" xfId="0" applyNumberFormat="1" applyFont="1" applyFill="1" applyBorder="1" applyAlignment="1">
      <x:alignment vertical="top" wrapText="1"/>
    </x:xf>
    <x:xf numFmtId="0" fontId="56" fillId="30" borderId="96" xfId="0" applyNumberFormat="1" applyFont="1" applyFill="1" applyBorder="1" applyAlignment="1">
      <x:alignment vertical="top" wrapText="1"/>
    </x:xf>
    <x:xf numFmtId="0" fontId="56" fillId="30" borderId="98" xfId="0" applyNumberFormat="1" applyFont="1" applyFill="1" applyBorder="1" applyAlignment="1">
      <x:alignment vertical="top" wrapText="1"/>
    </x:xf>
    <x:xf numFmtId="0" fontId="56" fillId="30" borderId="99" xfId="0" applyNumberFormat="1" applyFont="1" applyFill="1" applyBorder="1" applyAlignment="1">
      <x:alignment vertical="top" wrapText="1"/>
    </x:xf>
    <x:xf numFmtId="0" fontId="56" fillId="30" borderId="94" xfId="0" applyNumberFormat="1" applyFont="1" applyFill="1" applyBorder="1" applyAlignment="1">
      <x:alignment vertical="top" wrapText="1"/>
    </x:xf>
    <x:xf numFmtId="0" fontId="56" fillId="30" borderId="100" xfId="0" applyNumberFormat="1" applyFont="1" applyFill="1" applyBorder="1" applyAlignment="1">
      <x:alignment vertical="top" wrapText="1"/>
    </x:xf>
    <x:xf numFmtId="0" fontId="56" fillId="30" borderId="93" xfId="0" applyNumberFormat="1" applyFont="1" applyFill="1" applyBorder="1" applyAlignment="1">
      <x:alignment vertical="top" wrapText="1"/>
    </x:xf>
    <x:xf numFmtId="0" fontId="48" fillId="28" borderId="76" xfId="0" applyNumberFormat="1" applyFont="1" applyFill="1" applyBorder="1" applyAlignment="1">
      <x:alignment vertical="top" wrapText="1"/>
    </x:xf>
    <x:xf numFmtId="201" fontId="48" fillId="23" borderId="76" xfId="0" applyNumberFormat="1" applyFont="1" applyFill="1" applyBorder="1" applyAlignment="1">
      <x:alignment vertical="top" wrapText="1"/>
    </x:xf>
    <x:xf numFmtId="167" fontId="48" fillId="23" borderId="76" xfId="0" applyNumberFormat="1" applyFont="1" applyFill="1" applyBorder="1" applyAlignment="1">
      <x:alignment vertical="top" wrapText="1"/>
    </x:xf>
    <x:xf numFmtId="0" fontId="1" fillId="23" borderId="68" xfId="0" applyNumberFormat="1" applyFont="1" applyFill="1" applyBorder="1"/>
    <x:xf numFmtId="0" fontId="0" fillId="23" borderId="0" xfId="0" applyNumberFormat="1" applyFont="1" applyFill="1" applyBorder="1" applyAlignment="1">
      <x:alignment wrapText="1"/>
    </x:xf>
    <x:xf numFmtId="0" fontId="38" fillId="23" borderId="0" xfId="0" applyNumberFormat="1" applyFont="1" applyFill="1" applyBorder="1"/>
    <x:xf numFmtId="0" fontId="37" fillId="23" borderId="0" xfId="0" applyNumberFormat="1" applyFont="1" applyFill="1" applyBorder="1"/>
    <x:xf numFmtId="0" fontId="47" fillId="23" borderId="68" xfId="0" applyNumberFormat="1" applyFont="1" applyFill="1" applyBorder="1"/>
    <x:xf numFmtId="0" fontId="57" fillId="23" borderId="0" xfId="0" applyNumberFormat="1" applyFont="1" applyFill="1" applyBorder="1"/>
    <x:xf numFmtId="0" fontId="47" fillId="23" borderId="68" xfId="0" applyNumberFormat="1" applyFont="1" applyFill="1" applyBorder="1" applyAlignment="1">
      <x:alignment wrapText="1"/>
    </x:xf>
    <x:xf numFmtId="0" fontId="57" fillId="23" borderId="0" xfId="0" applyNumberFormat="1" applyFont="1" applyFill="1" applyBorder="1" applyAlignment="1">
      <x:alignment wrapText="1"/>
    </x:xf>
    <x:xf numFmtId="0" fontId="47" fillId="23" borderId="68" xfId="0" applyNumberFormat="1" applyFont="1" applyFill="1" applyBorder="1" applyAlignment="1">
      <x:alignment vertical="top" wrapText="1"/>
    </x:xf>
    <x:xf numFmtId="0" fontId="57" fillId="23" borderId="0" xfId="0" applyNumberFormat="1" applyFont="1" applyFill="1" applyBorder="1" applyAlignment="1">
      <x:alignment vertical="top" wrapText="1"/>
    </x:xf>
    <x:xf numFmtId="0" fontId="47" fillId="23" borderId="101" xfId="0" applyNumberFormat="1" applyFont="1" applyFill="1" applyBorder="1" applyAlignment="1">
      <x:alignment vertical="top" wrapText="1"/>
    </x:xf>
    <x:xf numFmtId="0" fontId="47" fillId="23" borderId="102" xfId="0" applyNumberFormat="1" applyFont="1" applyFill="1" applyBorder="1" applyAlignment="1">
      <x:alignment vertical="top" wrapText="1"/>
    </x:xf>
    <x:xf numFmtId="0" fontId="47" fillId="23" borderId="103" xfId="0" applyNumberFormat="1" applyFont="1" applyFill="1" applyBorder="1" applyAlignment="1">
      <x:alignment vertical="top" wrapText="1"/>
    </x:xf>
    <x:xf numFmtId="0" fontId="48" fillId="23" borderId="104" xfId="0" applyNumberFormat="1" applyFont="1" applyFill="1" applyBorder="1" applyAlignment="1">
      <x:alignment vertical="top" wrapText="1"/>
    </x:xf>
    <x:xf numFmtId="0" fontId="48" fillId="23" borderId="105" xfId="0" applyNumberFormat="1" applyFont="1" applyFill="1" applyBorder="1" applyAlignment="1">
      <x:alignment vertical="top" wrapText="1"/>
    </x:xf>
    <x:xf numFmtId="0" fontId="47" fillId="23" borderId="104" xfId="0" applyNumberFormat="1" applyFont="1" applyFill="1" applyBorder="1" applyAlignment="1">
      <x:alignment vertical="top" wrapText="1"/>
    </x:xf>
    <x:xf numFmtId="0" fontId="57" fillId="23" borderId="76" xfId="0" applyNumberFormat="1" applyFont="1" applyFill="1" applyBorder="1" applyAlignment="1">
      <x:alignment vertical="top" wrapText="1"/>
    </x:xf>
    <x:xf numFmtId="0" fontId="48" fillId="23" borderId="106" xfId="0" applyNumberFormat="1" applyFont="1" applyFill="1" applyBorder="1" applyAlignment="1">
      <x:alignment vertical="top" wrapText="1"/>
    </x:xf>
    <x:xf numFmtId="0" fontId="48" fillId="23" borderId="107" xfId="0" applyNumberFormat="1" applyFont="1" applyFill="1" applyBorder="1" applyAlignment="1">
      <x:alignment vertical="top" wrapText="1"/>
    </x:xf>
    <x:xf numFmtId="0" fontId="48" fillId="23" borderId="108" xfId="0" applyNumberFormat="1" applyFont="1" applyFill="1" applyBorder="1" applyAlignment="1">
      <x:alignment vertical="top" wrapText="1"/>
    </x:xf>
    <x:xf numFmtId="0" fontId="47" fillId="24" borderId="101" xfId="0" applyNumberFormat="1" applyFont="1" applyFill="1" applyBorder="1" applyAlignment="1">
      <x:alignment vertical="top" wrapText="1"/>
    </x:xf>
    <x:xf numFmtId="0" fontId="49" fillId="24" borderId="101" xfId="0" applyNumberFormat="1" applyFont="1" applyFill="1" applyBorder="1" applyAlignment="1">
      <x:alignment vertical="top" wrapText="1"/>
    </x:xf>
    <x:xf numFmtId="0" fontId="49" fillId="24" borderId="101" xfId="0" applyNumberFormat="1" applyFont="1" applyFill="1" applyBorder="1" applyAlignment="1">
      <x:alignment vertical="center" wrapText="1"/>
    </x:xf>
    <x:xf numFmtId="0" fontId="48" fillId="26" borderId="104" xfId="0" applyNumberFormat="1" applyFont="1" applyFill="1" applyBorder="1" applyAlignment="1">
      <x:alignment vertical="top" wrapText="1"/>
    </x:xf>
    <x:xf numFmtId="0" fontId="51" fillId="26" borderId="104" xfId="0" applyNumberFormat="1" applyFont="1" applyFill="1" applyBorder="1" applyAlignment="1">
      <x:alignment vertical="top" wrapText="1"/>
    </x:xf>
    <x:xf numFmtId="0" fontId="51" fillId="26" borderId="104" xfId="0" applyNumberFormat="1" applyFont="1" applyFill="1" applyBorder="1" applyAlignment="1">
      <x:alignment vertical="center" wrapText="1"/>
    </x:xf>
    <x:xf numFmtId="49" fontId="10" fillId="23" borderId="3" xfId="0" applyNumberFormat="1" applyFont="1" applyFill="1" applyBorder="1" applyAlignment="1">
      <x:alignment vertical="center"/>
    </x:xf>
    <x:xf numFmtId="49" fontId="1" fillId="23" borderId="3" xfId="0" applyNumberFormat="1" applyFont="1" applyFill="1" applyBorder="1" applyAlignment="1">
      <x:alignment horizontal="center" vertical="center" wrapText="1"/>
    </x:xf>
    <x:xf numFmtId="49" fontId="11" fillId="23" borderId="36" xfId="0" applyNumberFormat="1" applyFont="1" applyFill="1" applyBorder="1" applyAlignment="1">
      <x:alignment horizontal="center" vertical="center" wrapText="1"/>
    </x:xf>
    <x:xf numFmtId="49" fontId="10" fillId="23" borderId="37" xfId="0" applyNumberFormat="1" applyFont="1" applyFill="1" applyBorder="1" applyAlignment="1">
      <x:alignment horizontal="left" vertical="center"/>
    </x:xf>
    <x:xf numFmtId="0" fontId="10" fillId="23" borderId="38" xfId="0" applyNumberFormat="1" applyFont="1" applyFill="1" applyBorder="1" applyAlignment="1">
      <x:alignment horizontal="left" vertical="center"/>
    </x:xf>
    <x:xf numFmtId="0" fontId="10" fillId="23" borderId="39" xfId="0" applyNumberFormat="1" applyFont="1" applyFill="1" applyBorder="1" applyAlignment="1">
      <x:alignment horizontal="left" vertical="center"/>
    </x:xf>
    <x:xf numFmtId="0" fontId="12" fillId="23" borderId="3" xfId="0" applyNumberFormat="1" applyFont="1" applyFill="1" applyBorder="1" applyAlignment="1">
      <x:alignment horizontal="center" vertical="center"/>
    </x:xf>
    <x:xf numFmtId="49" fontId="0" fillId="23" borderId="3" xfId="0" applyNumberFormat="1" applyFont="1" applyFill="1" applyBorder="1" applyAlignment="1">
      <x:alignment horizontal="left" vertical="center"/>
    </x:xf>
    <x:xf numFmtId="0" fontId="0" fillId="23" borderId="3" xfId="0" applyNumberFormat="1" applyFont="1" applyFill="1" applyBorder="1" applyAlignment="1">
      <x:alignment horizontal="center" vertical="center" wrapText="1"/>
    </x:xf>
    <x:xf numFmtId="0" fontId="13" fillId="23" borderId="3" xfId="0" applyNumberFormat="1" applyFont="1" applyFill="1" applyBorder="1" applyAlignment="1">
      <x:alignment horizontal="center"/>
    </x:xf>
    <x:xf numFmtId="49" fontId="1" fillId="23" borderId="3" xfId="0" applyNumberFormat="1" applyFont="1" applyFill="1" applyBorder="1" applyAlignment="1">
      <x:alignment horizontal="left" vertical="center"/>
    </x:xf>
    <x:xf numFmtId="0" fontId="1" fillId="23" borderId="3" xfId="0" applyNumberFormat="1" applyFont="1" applyFill="1" applyBorder="1" applyAlignment="1">
      <x:alignment horizontal="center" vertical="center" wrapText="1"/>
    </x:xf>
    <x:xf numFmtId="0" fontId="14" fillId="23" borderId="3" xfId="0" applyNumberFormat="1" applyFont="1" applyFill="1" applyBorder="1" applyAlignment="1">
      <x:alignment horizontal="center" vertical="center" wrapText="1"/>
    </x:xf>
    <x:xf numFmtId="0" fontId="15" fillId="23" borderId="3" xfId="0" applyNumberFormat="1" applyFont="1" applyFill="1" applyBorder="1" applyAlignment="1">
      <x:alignment horizontal="center" vertical="center"/>
    </x:xf>
    <x:xf numFmtId="0" fontId="0" fillId="23" borderId="3" xfId="0" applyNumberFormat="1" applyFont="1" applyFill="1" applyBorder="1" applyAlignment="1">
      <x:alignment horizontal="center" vertical="center"/>
    </x:xf>
    <x:xf numFmtId="0" fontId="1" fillId="23" borderId="37" xfId="0" applyNumberFormat="1" applyFont="1" applyFill="1" applyBorder="1" applyAlignment="1">
      <x:alignment horizontal="left" vertical="center"/>
    </x:xf>
    <x:xf numFmtId="0" fontId="1" fillId="23" borderId="38" xfId="0" applyNumberFormat="1" applyFont="1" applyFill="1" applyBorder="1" applyAlignment="1">
      <x:alignment horizontal="left" vertical="center"/>
    </x:xf>
    <x:xf numFmtId="0" fontId="1" fillId="23" borderId="39" xfId="0" applyNumberFormat="1" applyFont="1" applyFill="1" applyBorder="1" applyAlignment="1">
      <x:alignment horizontal="left" vertical="center"/>
    </x:xf>
    <x:xf numFmtId="0" fontId="0" fillId="23" borderId="40" xfId="0" applyNumberFormat="1" applyFont="1" applyFill="1" applyBorder="1"/>
    <x:xf numFmtId="0" fontId="14" fillId="23" borderId="41" xfId="0" applyNumberFormat="1" applyFont="1" applyFill="1" applyBorder="1" applyAlignment="1">
      <x:alignment horizontal="center" vertical="center" wrapText="1"/>
    </x:xf>
    <x:xf numFmtId="49" fontId="16" fillId="23" borderId="5" xfId="0" applyNumberFormat="1" applyFont="1" applyFill="1" applyBorder="1" applyAlignment="1">
      <x:alignment vertical="center"/>
    </x:xf>
    <x:xf numFmtId="3" fontId="1" fillId="23" borderId="5" xfId="0" applyNumberFormat="1" applyFont="1" applyFill="1" applyBorder="1" applyAlignment="1">
      <x:alignment horizontal="center" vertical="center" wrapText="1"/>
    </x:xf>
    <x:xf numFmtId="0" fontId="0" fillId="23" borderId="5" xfId="0" applyNumberFormat="1" applyFont="1" applyFill="1" applyBorder="1"/>
    <x:xf numFmtId="49" fontId="16" fillId="23" borderId="2" xfId="0" applyNumberFormat="1" applyFont="1" applyFill="1" applyBorder="1" applyAlignment="1">
      <x:alignment vertical="center"/>
    </x:xf>
    <x:xf numFmtId="3" fontId="1" fillId="23" borderId="2" xfId="0" applyNumberFormat="1" applyFont="1" applyFill="1" applyBorder="1" applyAlignment="1">
      <x:alignment horizontal="center" vertical="center" wrapText="1"/>
    </x:xf>
    <x:xf numFmtId="49" fontId="17" fillId="23" borderId="2" xfId="0" applyNumberFormat="1" applyFont="1" applyFill="1" applyBorder="1" applyAlignment="1">
      <x:alignment wrapText="1"/>
    </x:xf>
    <x:xf numFmtId="0" fontId="17" fillId="23" borderId="2" xfId="0" applyNumberFormat="1" applyFont="1" applyFill="1" applyBorder="1" applyAlignment="1">
      <x:alignment wrapText="1"/>
    </x:xf>
    <x:xf numFmtId="0" fontId="18" fillId="23" borderId="1" xfId="0" applyNumberFormat="1" applyFont="1" applyFill="1" applyBorder="1" applyAlignment="1">
      <x:alignment vertical="center"/>
    </x:xf>
    <x:xf numFmtId="3" fontId="1" fillId="23" borderId="1" xfId="0" applyNumberFormat="1" applyFont="1" applyFill="1" applyBorder="1" applyAlignment="1">
      <x:alignment horizontal="center" vertical="center" wrapText="1"/>
    </x:xf>
    <x:xf numFmtId="0" fontId="0" fillId="23" borderId="1" xfId="0" applyNumberFormat="1" applyFont="1" applyFill="1" applyBorder="1"/>
    <x:xf numFmtId="49" fontId="10" fillId="23" borderId="3" xfId="0" applyNumberFormat="1" applyFont="1" applyFill="1" applyBorder="1" applyAlignment="1">
      <x:alignment horizontal="center" vertical="center" wrapText="1"/>
    </x:xf>
    <x:xf numFmtId="49" fontId="15" fillId="23" borderId="3" xfId="0" applyNumberFormat="1" applyFont="1" applyFill="1" applyBorder="1" applyAlignment="1">
      <x:alignment horizontal="center" vertical="center" wrapText="1"/>
    </x:xf>
    <x:xf numFmtId="0" fontId="0" fillId="23" borderId="5" xfId="0" applyNumberFormat="1" applyFont="1" applyFill="1" applyBorder="1" applyAlignment="1">
      <x:alignment horizontal="center"/>
    </x:xf>
    <x:xf numFmtId="0" fontId="12" fillId="23" borderId="20" xfId="0" applyNumberFormat="1" applyFont="1" applyFill="1" applyBorder="1" applyAlignment="1">
      <x:alignment horizontal="center" vertical="center"/>
    </x:xf>
    <x:xf numFmtId="0" fontId="0" fillId="23" borderId="2" xfId="0" applyNumberFormat="1" applyFont="1" applyFill="1" applyBorder="1" applyAlignment="1">
      <x:alignment horizontal="center"/>
    </x:xf>
    <x:xf numFmtId="0" fontId="12" fillId="23" borderId="2" xfId="0" applyNumberFormat="1" applyFont="1" applyFill="1" applyBorder="1" applyAlignment="1">
      <x:alignment horizontal="center" vertical="center"/>
    </x:xf>
    <x:xf numFmtId="0" fontId="17" fillId="23" borderId="2" xfId="0" applyNumberFormat="1" applyFont="1" applyFill="1" applyBorder="1" applyAlignment="1">
      <x:alignment vertical="center"/>
    </x:xf>
    <x:xf numFmtId="0" fontId="0" fillId="23" borderId="1" xfId="0" applyNumberFormat="1" applyFont="1" applyFill="1" applyBorder="1" applyAlignment="1">
      <x:alignment horizontal="center"/>
    </x:xf>
    <x:xf numFmtId="49" fontId="0" fillId="23" borderId="3" xfId="0" applyNumberFormat="1" applyFont="1" applyFill="1" applyBorder="1" applyAlignment="1">
      <x:alignment vertical="center"/>
    </x:xf>
    <x:xf numFmtId="49" fontId="1" fillId="23" borderId="3" xfId="0" applyNumberFormat="1" applyFont="1" applyFill="1" applyBorder="1" applyAlignment="1">
      <x:alignment vertical="center"/>
    </x:xf>
    <x:xf numFmtId="49" fontId="58" fillId="23" borderId="3" xfId="0" applyNumberFormat="1" applyFont="1" applyFill="1" applyBorder="1" applyAlignment="1">
      <x:alignment vertical="center"/>
    </x:xf>
    <x:xf numFmtId="49" fontId="58" fillId="23" borderId="3" xfId="0" applyNumberFormat="1" applyFont="1" applyFill="1" applyBorder="1" applyAlignment="1">
      <x:alignment horizontal="center" vertical="center" wrapText="1"/>
    </x:xf>
    <x:xf numFmtId="49" fontId="59" fillId="23" borderId="36" xfId="0" applyNumberFormat="1" applyFont="1" applyFill="1" applyBorder="1" applyAlignment="1">
      <x:alignment horizontal="center" vertical="center" wrapText="1"/>
    </x:xf>
    <x:xf numFmtId="49" fontId="58" fillId="23" borderId="37" xfId="0" applyNumberFormat="1" applyFont="1" applyFill="1" applyBorder="1" applyAlignment="1">
      <x:alignment horizontal="left" vertical="center"/>
    </x:xf>
    <x:xf numFmtId="0" fontId="58" fillId="23" borderId="38" xfId="0" applyNumberFormat="1" applyFont="1" applyFill="1" applyBorder="1" applyAlignment="1">
      <x:alignment horizontal="left" vertical="center"/>
    </x:xf>
    <x:xf numFmtId="0" fontId="58" fillId="23" borderId="39" xfId="0" applyNumberFormat="1" applyFont="1" applyFill="1" applyBorder="1" applyAlignment="1">
      <x:alignment horizontal="left" vertical="center"/>
    </x:xf>
    <x:xf numFmtId="0" fontId="60" fillId="23" borderId="3" xfId="0" applyNumberFormat="1" applyFont="1" applyFill="1" applyBorder="1" applyAlignment="1">
      <x:alignment horizontal="center" vertical="center"/>
    </x:xf>
    <x:xf numFmtId="49" fontId="61" fillId="23" borderId="3" xfId="0" applyNumberFormat="1" applyFont="1" applyFill="1" applyBorder="1" applyAlignment="1">
      <x:alignment horizontal="left" vertical="center"/>
    </x:xf>
    <x:xf numFmtId="0" fontId="61" fillId="23" borderId="3" xfId="0" applyNumberFormat="1" applyFont="1" applyFill="1" applyBorder="1" applyAlignment="1">
      <x:alignment horizontal="center" vertical="center" wrapText="1"/>
    </x:xf>
    <x:xf numFmtId="0" fontId="62" fillId="23" borderId="3" xfId="0" applyNumberFormat="1" applyFont="1" applyFill="1" applyBorder="1" applyAlignment="1">
      <x:alignment horizontal="center"/>
    </x:xf>
    <x:xf numFmtId="49" fontId="58" fillId="23" borderId="3" xfId="0" applyNumberFormat="1" applyFont="1" applyFill="1" applyBorder="1" applyAlignment="1">
      <x:alignment horizontal="left" vertical="center"/>
    </x:xf>
    <x:xf numFmtId="0" fontId="58" fillId="23" borderId="3" xfId="0" applyNumberFormat="1" applyFont="1" applyFill="1" applyBorder="1" applyAlignment="1">
      <x:alignment horizontal="center" vertical="center" wrapText="1"/>
    </x:xf>
    <x:xf numFmtId="0" fontId="63" fillId="23" borderId="3" xfId="0" applyNumberFormat="1" applyFont="1" applyFill="1" applyBorder="1" applyAlignment="1">
      <x:alignment horizontal="center" vertical="center" wrapText="1"/>
    </x:xf>
    <x:xf numFmtId="0" fontId="63" fillId="23" borderId="3" xfId="0" applyNumberFormat="1" applyFont="1" applyFill="1" applyBorder="1" applyAlignment="1">
      <x:alignment horizontal="center" vertical="center"/>
    </x:xf>
    <x:xf numFmtId="0" fontId="61" fillId="23" borderId="3" xfId="0" applyNumberFormat="1" applyFont="1" applyFill="1" applyBorder="1" applyAlignment="1">
      <x:alignment horizontal="center" vertical="center"/>
    </x:xf>
    <x:xf numFmtId="0" fontId="58" fillId="23" borderId="37" xfId="0" applyNumberFormat="1" applyFont="1" applyFill="1" applyBorder="1" applyAlignment="1">
      <x:alignment horizontal="left" vertical="center"/>
    </x:xf>
    <x:xf numFmtId="0" fontId="61" fillId="23" borderId="40" xfId="0" applyNumberFormat="1" applyFont="1" applyFill="1" applyBorder="1"/>
    <x:xf numFmtId="0" fontId="63" fillId="23" borderId="41" xfId="0" applyNumberFormat="1" applyFont="1" applyFill="1" applyBorder="1" applyAlignment="1">
      <x:alignment horizontal="center" vertical="center" wrapText="1"/>
    </x:xf>
    <x:xf numFmtId="49" fontId="64" fillId="23" borderId="5" xfId="0" applyNumberFormat="1" applyFont="1" applyFill="1" applyBorder="1" applyAlignment="1">
      <x:alignment vertical="center"/>
    </x:xf>
    <x:xf numFmtId="3" fontId="58" fillId="23" borderId="5" xfId="0" applyNumberFormat="1" applyFont="1" applyFill="1" applyBorder="1" applyAlignment="1">
      <x:alignment horizontal="center" vertical="center" wrapText="1"/>
    </x:xf>
    <x:xf numFmtId="0" fontId="61" fillId="23" borderId="5" xfId="0" applyNumberFormat="1" applyFont="1" applyFill="1" applyBorder="1"/>
    <x:xf numFmtId="0" fontId="61" fillId="23" borderId="20" xfId="0" applyNumberFormat="1" applyFont="1" applyFill="1" applyBorder="1"/>
    <x:xf numFmtId="49" fontId="64" fillId="23" borderId="2" xfId="0" applyNumberFormat="1" applyFont="1" applyFill="1" applyBorder="1" applyAlignment="1">
      <x:alignment vertical="center"/>
    </x:xf>
    <x:xf numFmtId="3" fontId="58" fillId="23" borderId="2" xfId="0" applyNumberFormat="1" applyFont="1" applyFill="1" applyBorder="1" applyAlignment="1">
      <x:alignment horizontal="center" vertical="center" wrapText="1"/>
    </x:xf>
    <x:xf numFmtId="0" fontId="61" fillId="23" borderId="2" xfId="0" applyNumberFormat="1" applyFont="1" applyFill="1" applyBorder="1"/>
    <x:xf numFmtId="49" fontId="65" fillId="23" borderId="2" xfId="0" applyNumberFormat="1" applyFont="1" applyFill="1" applyBorder="1" applyAlignment="1">
      <x:alignment wrapText="1"/>
    </x:xf>
    <x:xf numFmtId="0" fontId="65" fillId="23" borderId="2" xfId="0" applyNumberFormat="1" applyFont="1" applyFill="1" applyBorder="1" applyAlignment="1">
      <x:alignment wrapText="1"/>
    </x:xf>
    <x:xf numFmtId="0" fontId="65" fillId="23" borderId="1" xfId="0" applyNumberFormat="1" applyFont="1" applyFill="1" applyBorder="1" applyAlignment="1">
      <x:alignment vertical="center"/>
    </x:xf>
    <x:xf numFmtId="3" fontId="58" fillId="23" borderId="1" xfId="0" applyNumberFormat="1" applyFont="1" applyFill="1" applyBorder="1" applyAlignment="1">
      <x:alignment horizontal="center" vertical="center" wrapText="1"/>
    </x:xf>
    <x:xf numFmtId="0" fontId="61" fillId="23" borderId="1" xfId="0" applyNumberFormat="1" applyFont="1" applyFill="1" applyBorder="1"/>
    <x:xf numFmtId="49" fontId="63" fillId="23" borderId="3" xfId="0" applyNumberFormat="1" applyFont="1" applyFill="1" applyBorder="1" applyAlignment="1">
      <x:alignment horizontal="center" vertical="center" wrapText="1"/>
    </x:xf>
    <x:xf numFmtId="0" fontId="61" fillId="23" borderId="5" xfId="0" applyNumberFormat="1" applyFont="1" applyFill="1" applyBorder="1" applyAlignment="1">
      <x:alignment horizontal="center"/>
    </x:xf>
    <x:xf numFmtId="0" fontId="60" fillId="23" borderId="20" xfId="0" applyNumberFormat="1" applyFont="1" applyFill="1" applyBorder="1" applyAlignment="1">
      <x:alignment horizontal="center" vertical="center"/>
    </x:xf>
    <x:xf numFmtId="0" fontId="61" fillId="23" borderId="2" xfId="0" applyNumberFormat="1" applyFont="1" applyFill="1" applyBorder="1" applyAlignment="1">
      <x:alignment horizontal="center"/>
    </x:xf>
    <x:xf numFmtId="0" fontId="60" fillId="23" borderId="2" xfId="0" applyNumberFormat="1" applyFont="1" applyFill="1" applyBorder="1" applyAlignment="1">
      <x:alignment horizontal="center" vertical="center"/>
    </x:xf>
    <x:xf numFmtId="0" fontId="65" fillId="23" borderId="2" xfId="0" applyNumberFormat="1" applyFont="1" applyFill="1" applyBorder="1" applyAlignment="1">
      <x:alignment vertical="center"/>
    </x:xf>
    <x:xf numFmtId="0" fontId="61" fillId="23" borderId="1" xfId="0" applyNumberFormat="1" applyFont="1" applyFill="1" applyBorder="1" applyAlignment="1">
      <x:alignment horizontal="center"/>
    </x:xf>
    <x:xf numFmtId="49" fontId="61" fillId="23" borderId="3" xfId="0" applyNumberFormat="1" applyFont="1" applyFill="1" applyBorder="1" applyAlignment="1">
      <x:alignment vertical="center"/>
    </x:xf>
    <x:xf numFmtId="49" fontId="58" fillId="23" borderId="109" xfId="0" applyNumberFormat="1" applyFont="1" applyFill="1" applyBorder="1" applyAlignment="1">
      <x:alignment vertical="center"/>
    </x:xf>
    <x:xf numFmtId="49" fontId="58" fillId="23" borderId="110" xfId="0" applyNumberFormat="1" applyFont="1" applyFill="1" applyBorder="1" applyAlignment="1">
      <x:alignment horizontal="center" vertical="center" wrapText="1"/>
    </x:xf>
    <x:xf numFmtId="49" fontId="59" fillId="23" borderId="111" xfId="0" applyNumberFormat="1" applyFont="1" applyFill="1" applyBorder="1" applyAlignment="1">
      <x:alignment horizontal="center" vertical="center" wrapText="1"/>
    </x:xf>
    <x:xf numFmtId="49" fontId="58" fillId="23" borderId="112" xfId="0" applyNumberFormat="1" applyFont="1" applyFill="1" applyBorder="1" applyAlignment="1">
      <x:alignment horizontal="left" vertical="center"/>
    </x:xf>
    <x:xf numFmtId="0" fontId="58" fillId="23" borderId="76" xfId="0" applyNumberFormat="1" applyFont="1" applyFill="1" applyBorder="1" applyAlignment="1">
      <x:alignment horizontal="left" vertical="center"/>
    </x:xf>
    <x:xf numFmtId="0" fontId="60" fillId="23" borderId="113" xfId="0" applyNumberFormat="1" applyFont="1" applyFill="1" applyBorder="1" applyAlignment="1">
      <x:alignment horizontal="center" vertical="center"/>
    </x:xf>
    <x:xf numFmtId="49" fontId="61" fillId="23" borderId="112" xfId="0" applyNumberFormat="1" applyFont="1" applyFill="1" applyBorder="1" applyAlignment="1">
      <x:alignment horizontal="left" vertical="center"/>
    </x:xf>
    <x:xf numFmtId="0" fontId="61" fillId="23" borderId="76" xfId="0" applyNumberFormat="1" applyFont="1" applyFill="1" applyBorder="1" applyAlignment="1">
      <x:alignment horizontal="center" vertical="center" wrapText="1"/>
    </x:xf>
    <x:xf numFmtId="0" fontId="62" fillId="23" borderId="76" xfId="0" applyNumberFormat="1" applyFont="1" applyFill="1" applyBorder="1" applyAlignment="1">
      <x:alignment horizontal="center"/>
    </x:xf>
    <x:xf numFmtId="0" fontId="58" fillId="23" borderId="76" xfId="0" applyNumberFormat="1" applyFont="1" applyFill="1" applyBorder="1" applyAlignment="1">
      <x:alignment horizontal="center" vertical="center" wrapText="1"/>
    </x:xf>
    <x:xf numFmtId="0" fontId="63" fillId="23" borderId="113" xfId="0" applyNumberFormat="1" applyFont="1" applyFill="1" applyBorder="1" applyAlignment="1">
      <x:alignment horizontal="center" vertical="center" wrapText="1"/>
    </x:xf>
    <x:xf numFmtId="0" fontId="63" fillId="23" borderId="113" xfId="0" applyNumberFormat="1" applyFont="1" applyFill="1" applyBorder="1" applyAlignment="1">
      <x:alignment horizontal="center" vertical="center"/>
    </x:xf>
    <x:xf numFmtId="0" fontId="61" fillId="23" borderId="76" xfId="0" applyNumberFormat="1" applyFont="1" applyFill="1" applyBorder="1" applyAlignment="1">
      <x:alignment horizontal="center" vertical="center"/>
    </x:xf>
    <x:xf numFmtId="0" fontId="58" fillId="23" borderId="112" xfId="0" applyNumberFormat="1" applyFont="1" applyFill="1" applyBorder="1" applyAlignment="1">
      <x:alignment horizontal="left" vertical="center"/>
    </x:xf>
    <x:xf numFmtId="0" fontId="61" fillId="23" borderId="113" xfId="0" applyNumberFormat="1" applyFont="1" applyFill="1" applyBorder="1"/>
    <x:xf numFmtId="49" fontId="64" fillId="23" borderId="112" xfId="0" applyNumberFormat="1" applyFont="1" applyFill="1" applyBorder="1" applyAlignment="1">
      <x:alignment vertical="center"/>
    </x:xf>
    <x:xf numFmtId="3" fontId="58" fillId="23" borderId="76" xfId="0" applyNumberFormat="1" applyFont="1" applyFill="1" applyBorder="1" applyAlignment="1">
      <x:alignment horizontal="center" vertical="center" wrapText="1"/>
    </x:xf>
    <x:xf numFmtId="0" fontId="61" fillId="23" borderId="76" xfId="0" applyNumberFormat="1" applyFont="1" applyFill="1" applyBorder="1"/>
    <x:xf numFmtId="49" fontId="65" fillId="23" borderId="112" xfId="0" applyNumberFormat="1" applyFont="1" applyFill="1" applyBorder="1" applyAlignment="1">
      <x:alignment wrapText="1"/>
    </x:xf>
    <x:xf numFmtId="0" fontId="65" fillId="23" borderId="112" xfId="0" applyNumberFormat="1" applyFont="1" applyFill="1" applyBorder="1" applyAlignment="1">
      <x:alignment wrapText="1"/>
    </x:xf>
    <x:xf numFmtId="0" fontId="65" fillId="23" borderId="112" xfId="0" applyNumberFormat="1" applyFont="1" applyFill="1" applyBorder="1" applyAlignment="1">
      <x:alignment vertical="center"/>
    </x:xf>
    <x:xf numFmtId="49" fontId="58" fillId="23" borderId="112" xfId="0" applyNumberFormat="1" applyFont="1" applyFill="1" applyBorder="1" applyAlignment="1">
      <x:alignment vertical="center"/>
    </x:xf>
    <x:xf numFmtId="49" fontId="58" fillId="23" borderId="76" xfId="0" applyNumberFormat="1" applyFont="1" applyFill="1" applyBorder="1" applyAlignment="1">
      <x:alignment horizontal="center" vertical="center" wrapText="1"/>
    </x:xf>
    <x:xf numFmtId="49" fontId="63" fillId="23" borderId="113" xfId="0" applyNumberFormat="1" applyFont="1" applyFill="1" applyBorder="1" applyAlignment="1">
      <x:alignment horizontal="center" vertical="center" wrapText="1"/>
    </x:xf>
    <x:xf numFmtId="0" fontId="61" fillId="23" borderId="76" xfId="0" applyNumberFormat="1" applyFont="1" applyFill="1" applyBorder="1" applyAlignment="1">
      <x:alignment horizontal="center"/>
    </x:xf>
    <x:xf numFmtId="0" fontId="61" fillId="23" borderId="112" xfId="0" applyNumberFormat="1" applyFont="1" applyFill="1" applyBorder="1" applyAlignment="1">
      <x:alignment horizontal="center"/>
    </x:xf>
    <x:xf numFmtId="49" fontId="58" fillId="23" borderId="113" xfId="0" applyNumberFormat="1" applyFont="1" applyFill="1" applyBorder="1" applyAlignment="1">
      <x:alignment horizontal="center" vertical="center" wrapText="1"/>
    </x:xf>
    <x:xf numFmtId="49" fontId="61" fillId="23" borderId="112" xfId="0" applyNumberFormat="1" applyFont="1" applyFill="1" applyBorder="1" applyAlignment="1">
      <x:alignment vertical="center"/>
    </x:xf>
    <x:xf numFmtId="49" fontId="64" fillId="23" borderId="114" xfId="0" applyNumberFormat="1" applyFont="1" applyFill="1" applyBorder="1" applyAlignment="1">
      <x:alignment vertical="center"/>
    </x:xf>
    <x:xf numFmtId="0" fontId="61" fillId="23" borderId="115" xfId="0" applyNumberFormat="1" applyFont="1" applyFill="1" applyBorder="1" applyAlignment="1">
      <x:alignment horizontal="center"/>
    </x:xf>
    <x:xf numFmtId="0" fontId="61" fillId="23" borderId="115" xfId="0" applyNumberFormat="1" applyFont="1" applyFill="1" applyBorder="1"/>
    <x:xf numFmtId="0" fontId="61" fillId="23" borderId="116" xfId="0" applyNumberFormat="1" applyFont="1" applyFill="1" applyBorder="1"/>
    <x:xf numFmtId="49" fontId="58" fillId="23" borderId="109" xfId="0" applyNumberFormat="1" applyFont="1" applyFill="1" applyBorder="1" applyAlignment="1">
      <x:alignment vertical="center" wrapText="0"/>
    </x:xf>
    <x:xf numFmtId="49" fontId="58" fillId="23" borderId="110" xfId="0" applyNumberFormat="1" applyFont="1" applyFill="1" applyBorder="1" applyAlignment="1">
      <x:alignment horizontal="center" vertical="center" wrapText="0"/>
    </x:xf>
    <x:xf numFmtId="49" fontId="59" fillId="23" borderId="111" xfId="0" applyNumberFormat="1" applyFont="1" applyFill="1" applyBorder="1" applyAlignment="1">
      <x:alignment horizontal="center" vertical="center" wrapText="0"/>
    </x:xf>
    <x:xf numFmtId="49" fontId="58" fillId="23" borderId="112" xfId="0" applyNumberFormat="1" applyFont="1" applyFill="1" applyBorder="1" applyAlignment="1">
      <x:alignment horizontal="left" vertical="center" wrapText="0"/>
    </x:xf>
    <x:xf numFmtId="0" fontId="58" fillId="23" borderId="76" xfId="0" applyNumberFormat="1" applyFont="1" applyFill="1" applyBorder="1" applyAlignment="1">
      <x:alignment horizontal="left" vertical="center" wrapText="0"/>
    </x:xf>
    <x:xf numFmtId="0" fontId="60" fillId="23" borderId="113" xfId="0" applyNumberFormat="1" applyFont="1" applyFill="1" applyBorder="1" applyAlignment="1">
      <x:alignment horizontal="center" vertical="center" wrapText="0"/>
    </x:xf>
    <x:xf numFmtId="49" fontId="61" fillId="23" borderId="112" xfId="0" applyNumberFormat="1" applyFont="1" applyFill="1" applyBorder="1" applyAlignment="1">
      <x:alignment horizontal="left" vertical="center" wrapText="0"/>
    </x:xf>
    <x:xf numFmtId="0" fontId="61" fillId="23" borderId="76" xfId="0" applyNumberFormat="1" applyFont="1" applyFill="1" applyBorder="1" applyAlignment="1">
      <x:alignment horizontal="center" vertical="center" wrapText="0"/>
    </x:xf>
    <x:xf numFmtId="0" fontId="62" fillId="23" borderId="76" xfId="0" applyNumberFormat="1" applyFont="1" applyFill="1" applyBorder="1" applyAlignment="1">
      <x:alignment horizontal="center" wrapText="0"/>
    </x:xf>
    <x:xf numFmtId="0" fontId="58" fillId="23" borderId="76" xfId="0" applyNumberFormat="1" applyFont="1" applyFill="1" applyBorder="1" applyAlignment="1">
      <x:alignment horizontal="center" vertical="center" wrapText="0"/>
    </x:xf>
    <x:xf numFmtId="0" fontId="63" fillId="23" borderId="113" xfId="0" applyNumberFormat="1" applyFont="1" applyFill="1" applyBorder="1" applyAlignment="1">
      <x:alignment horizontal="center" vertical="center" wrapText="0"/>
    </x:xf>
    <x:xf numFmtId="0" fontId="58" fillId="23" borderId="112" xfId="0" applyNumberFormat="1" applyFont="1" applyFill="1" applyBorder="1" applyAlignment="1">
      <x:alignment horizontal="left" vertical="center" wrapText="0"/>
    </x:xf>
    <x:xf numFmtId="0" fontId="61" fillId="23" borderId="113" xfId="0" applyNumberFormat="1" applyFont="1" applyFill="1" applyBorder="1" applyAlignment="1">
      <x:alignment wrapText="0"/>
    </x:xf>
    <x:xf numFmtId="49" fontId="64" fillId="23" borderId="112" xfId="0" applyNumberFormat="1" applyFont="1" applyFill="1" applyBorder="1" applyAlignment="1">
      <x:alignment vertical="center" wrapText="0"/>
    </x:xf>
    <x:xf numFmtId="3" fontId="58" fillId="23" borderId="76" xfId="0" applyNumberFormat="1" applyFont="1" applyFill="1" applyBorder="1" applyAlignment="1">
      <x:alignment horizontal="center" vertical="center" wrapText="0"/>
    </x:xf>
    <x:xf numFmtId="0" fontId="61" fillId="23" borderId="76" xfId="0" applyNumberFormat="1" applyFont="1" applyFill="1" applyBorder="1" applyAlignment="1">
      <x:alignment wrapText="0"/>
    </x:xf>
    <x:xf numFmtId="49" fontId="65" fillId="23" borderId="112" xfId="0" applyNumberFormat="1" applyFont="1" applyFill="1" applyBorder="1" applyAlignment="1">
      <x:alignment wrapText="0"/>
    </x:xf>
    <x:xf numFmtId="0" fontId="65" fillId="23" borderId="112" xfId="0" applyNumberFormat="1" applyFont="1" applyFill="1" applyBorder="1" applyAlignment="1">
      <x:alignment wrapText="0"/>
    </x:xf>
    <x:xf numFmtId="0" fontId="65" fillId="23" borderId="112" xfId="0" applyNumberFormat="1" applyFont="1" applyFill="1" applyBorder="1" applyAlignment="1">
      <x:alignment vertical="center" wrapText="0"/>
    </x:xf>
    <x:xf numFmtId="49" fontId="58" fillId="23" borderId="112" xfId="0" applyNumberFormat="1" applyFont="1" applyFill="1" applyBorder="1" applyAlignment="1">
      <x:alignment vertical="center" wrapText="0"/>
    </x:xf>
    <x:xf numFmtId="49" fontId="58" fillId="23" borderId="76" xfId="0" applyNumberFormat="1" applyFont="1" applyFill="1" applyBorder="1" applyAlignment="1">
      <x:alignment horizontal="center" vertical="center" wrapText="0"/>
    </x:xf>
    <x:xf numFmtId="49" fontId="63" fillId="23" borderId="113" xfId="0" applyNumberFormat="1" applyFont="1" applyFill="1" applyBorder="1" applyAlignment="1">
      <x:alignment horizontal="center" vertical="center" wrapText="0"/>
    </x:xf>
    <x:xf numFmtId="0" fontId="61" fillId="23" borderId="76" xfId="0" applyNumberFormat="1" applyFont="1" applyFill="1" applyBorder="1" applyAlignment="1">
      <x:alignment horizontal="center" wrapText="0"/>
    </x:xf>
    <x:xf numFmtId="0" fontId="61" fillId="23" borderId="112" xfId="0" applyNumberFormat="1" applyFont="1" applyFill="1" applyBorder="1" applyAlignment="1">
      <x:alignment horizontal="center" wrapText="0"/>
    </x:xf>
    <x:xf numFmtId="49" fontId="58" fillId="23" borderId="113" xfId="0" applyNumberFormat="1" applyFont="1" applyFill="1" applyBorder="1" applyAlignment="1">
      <x:alignment horizontal="center" vertical="center" wrapText="0"/>
    </x:xf>
    <x:xf numFmtId="49" fontId="61" fillId="23" borderId="112" xfId="0" applyNumberFormat="1" applyFont="1" applyFill="1" applyBorder="1" applyAlignment="1">
      <x:alignment vertical="center" wrapText="0"/>
    </x:xf>
    <x:xf numFmtId="49" fontId="64" fillId="23" borderId="114" xfId="0" applyNumberFormat="1" applyFont="1" applyFill="1" applyBorder="1" applyAlignment="1">
      <x:alignment vertical="center" wrapText="0"/>
    </x:xf>
    <x:xf numFmtId="0" fontId="61" fillId="23" borderId="115" xfId="0" applyNumberFormat="1" applyFont="1" applyFill="1" applyBorder="1" applyAlignment="1">
      <x:alignment horizontal="center" wrapText="0"/>
    </x:xf>
    <x:xf numFmtId="0" fontId="61" fillId="23" borderId="115" xfId="0" applyNumberFormat="1" applyFont="1" applyFill="1" applyBorder="1" applyAlignment="1">
      <x:alignment wrapText="0"/>
    </x:xf>
    <x:xf numFmtId="0" fontId="61" fillId="23" borderId="116" xfId="0" applyNumberFormat="1" applyFont="1" applyFill="1" applyBorder="1" applyAlignment="1">
      <x:alignment wrapText="0"/>
    </x:xf>
    <x:xf numFmtId="49" fontId="58" fillId="23" borderId="109" xfId="0" applyNumberFormat="1" applyFont="1" applyFill="1" applyBorder="1" applyAlignment="1">
      <x:alignment vertical="top" wrapText="0"/>
    </x:xf>
    <x:xf numFmtId="49" fontId="58" fillId="23" borderId="110" xfId="0" applyNumberFormat="1" applyFont="1" applyFill="1" applyBorder="1" applyAlignment="1">
      <x:alignment horizontal="center" vertical="top" wrapText="0"/>
    </x:xf>
    <x:xf numFmtId="49" fontId="59" fillId="23" borderId="111" xfId="0" applyNumberFormat="1" applyFont="1" applyFill="1" applyBorder="1" applyAlignment="1">
      <x:alignment horizontal="center" vertical="top" wrapText="0"/>
    </x:xf>
    <x:xf numFmtId="49" fontId="58" fillId="23" borderId="112" xfId="0" applyNumberFormat="1" applyFont="1" applyFill="1" applyBorder="1" applyAlignment="1">
      <x:alignment horizontal="left" vertical="top" wrapText="0"/>
    </x:xf>
    <x:xf numFmtId="0" fontId="58" fillId="23" borderId="76" xfId="0" applyNumberFormat="1" applyFont="1" applyFill="1" applyBorder="1" applyAlignment="1">
      <x:alignment horizontal="left" vertical="top" wrapText="0"/>
    </x:xf>
    <x:xf numFmtId="0" fontId="60" fillId="23" borderId="113" xfId="0" applyNumberFormat="1" applyFont="1" applyFill="1" applyBorder="1" applyAlignment="1">
      <x:alignment horizontal="center" vertical="top" wrapText="0"/>
    </x:xf>
    <x:xf numFmtId="49" fontId="61" fillId="23" borderId="112" xfId="0" applyNumberFormat="1" applyFont="1" applyFill="1" applyBorder="1" applyAlignment="1">
      <x:alignment horizontal="left" vertical="top" wrapText="0"/>
    </x:xf>
    <x:xf numFmtId="0" fontId="61" fillId="23" borderId="76" xfId="0" applyNumberFormat="1" applyFont="1" applyFill="1" applyBorder="1" applyAlignment="1">
      <x:alignment horizontal="center" vertical="top" wrapText="0"/>
    </x:xf>
    <x:xf numFmtId="0" fontId="62" fillId="23" borderId="76" xfId="0" applyNumberFormat="1" applyFont="1" applyFill="1" applyBorder="1" applyAlignment="1">
      <x:alignment horizontal="center" vertical="top" wrapText="0"/>
    </x:xf>
    <x:xf numFmtId="0" fontId="58" fillId="23" borderId="76" xfId="0" applyNumberFormat="1" applyFont="1" applyFill="1" applyBorder="1" applyAlignment="1">
      <x:alignment horizontal="center" vertical="top" wrapText="0"/>
    </x:xf>
    <x:xf numFmtId="0" fontId="63" fillId="23" borderId="113" xfId="0" applyNumberFormat="1" applyFont="1" applyFill="1" applyBorder="1" applyAlignment="1">
      <x:alignment horizontal="center" vertical="top" wrapText="0"/>
    </x:xf>
    <x:xf numFmtId="0" fontId="58" fillId="23" borderId="112" xfId="0" applyNumberFormat="1" applyFont="1" applyFill="1" applyBorder="1" applyAlignment="1">
      <x:alignment horizontal="left" vertical="top" wrapText="0"/>
    </x:xf>
    <x:xf numFmtId="0" fontId="61" fillId="23" borderId="113" xfId="0" applyNumberFormat="1" applyFont="1" applyFill="1" applyBorder="1" applyAlignment="1">
      <x:alignment vertical="top" wrapText="0"/>
    </x:xf>
    <x:xf numFmtId="49" fontId="64" fillId="23" borderId="112" xfId="0" applyNumberFormat="1" applyFont="1" applyFill="1" applyBorder="1" applyAlignment="1">
      <x:alignment vertical="top" wrapText="0"/>
    </x:xf>
    <x:xf numFmtId="3" fontId="58" fillId="23" borderId="76" xfId="0" applyNumberFormat="1" applyFont="1" applyFill="1" applyBorder="1" applyAlignment="1">
      <x:alignment horizontal="center" vertical="top" wrapText="0"/>
    </x:xf>
    <x:xf numFmtId="0" fontId="61" fillId="23" borderId="76" xfId="0" applyNumberFormat="1" applyFont="1" applyFill="1" applyBorder="1" applyAlignment="1">
      <x:alignment vertical="top" wrapText="0"/>
    </x:xf>
    <x:xf numFmtId="49" fontId="65" fillId="23" borderId="112" xfId="0" applyNumberFormat="1" applyFont="1" applyFill="1" applyBorder="1" applyAlignment="1">
      <x:alignment vertical="top" wrapText="0"/>
    </x:xf>
    <x:xf numFmtId="0" fontId="65" fillId="23" borderId="112" xfId="0" applyNumberFormat="1" applyFont="1" applyFill="1" applyBorder="1" applyAlignment="1">
      <x:alignment vertical="top" wrapText="0"/>
    </x:xf>
    <x:xf numFmtId="49" fontId="58" fillId="23" borderId="112" xfId="0" applyNumberFormat="1" applyFont="1" applyFill="1" applyBorder="1" applyAlignment="1">
      <x:alignment vertical="top" wrapText="0"/>
    </x:xf>
    <x:xf numFmtId="49" fontId="58" fillId="23" borderId="76" xfId="0" applyNumberFormat="1" applyFont="1" applyFill="1" applyBorder="1" applyAlignment="1">
      <x:alignment horizontal="center" vertical="top" wrapText="0"/>
    </x:xf>
    <x:xf numFmtId="49" fontId="63" fillId="23" borderId="113" xfId="0" applyNumberFormat="1" applyFont="1" applyFill="1" applyBorder="1" applyAlignment="1">
      <x:alignment horizontal="center" vertical="top" wrapText="0"/>
    </x:xf>
    <x:xf numFmtId="0" fontId="61" fillId="23" borderId="112" xfId="0" applyNumberFormat="1" applyFont="1" applyFill="1" applyBorder="1" applyAlignment="1">
      <x:alignment horizontal="center" vertical="top" wrapText="0"/>
    </x:xf>
    <x:xf numFmtId="49" fontId="58" fillId="23" borderId="113" xfId="0" applyNumberFormat="1" applyFont="1" applyFill="1" applyBorder="1" applyAlignment="1">
      <x:alignment horizontal="center" vertical="top" wrapText="0"/>
    </x:xf>
    <x:xf numFmtId="49" fontId="61" fillId="23" borderId="112" xfId="0" applyNumberFormat="1" applyFont="1" applyFill="1" applyBorder="1" applyAlignment="1">
      <x:alignment vertical="top" wrapText="0"/>
    </x:xf>
    <x:xf numFmtId="49" fontId="64" fillId="23" borderId="114" xfId="0" applyNumberFormat="1" applyFont="1" applyFill="1" applyBorder="1" applyAlignment="1">
      <x:alignment vertical="top" wrapText="0"/>
    </x:xf>
    <x:xf numFmtId="0" fontId="61" fillId="23" borderId="115" xfId="0" applyNumberFormat="1" applyFont="1" applyFill="1" applyBorder="1" applyAlignment="1">
      <x:alignment horizontal="center" vertical="top" wrapText="0"/>
    </x:xf>
    <x:xf numFmtId="0" fontId="61" fillId="23" borderId="115" xfId="0" applyNumberFormat="1" applyFont="1" applyFill="1" applyBorder="1" applyAlignment="1">
      <x:alignment vertical="top" wrapText="0"/>
    </x:xf>
    <x:xf numFmtId="0" fontId="61" fillId="23" borderId="116" xfId="0" applyNumberFormat="1" applyFont="1" applyFill="1" applyBorder="1" applyAlignment="1">
      <x:alignment vertical="top" wrapText="0"/>
    </x:xf>
    <x:xf numFmtId="49" fontId="58" fillId="24" borderId="109" xfId="0" applyNumberFormat="1" applyFont="1" applyFill="1" applyBorder="1" applyAlignment="1">
      <x:alignment vertical="top" wrapText="0"/>
    </x:xf>
    <x:xf numFmtId="49" fontId="58" fillId="24" borderId="110" xfId="0" applyNumberFormat="1" applyFont="1" applyFill="1" applyBorder="1" applyAlignment="1">
      <x:alignment horizontal="center" vertical="top" wrapText="0"/>
    </x:xf>
    <x:xf numFmtId="49" fontId="59" fillId="24" borderId="111" xfId="0" applyNumberFormat="1" applyFont="1" applyFill="1" applyBorder="1" applyAlignment="1">
      <x:alignment horizontal="center" vertical="top" wrapText="0"/>
    </x:xf>
    <x:xf numFmtId="49" fontId="66" fillId="24" borderId="109" xfId="0" applyNumberFormat="1" applyFont="1" applyFill="1" applyBorder="1" applyAlignment="1">
      <x:alignment vertical="top" wrapText="0"/>
    </x:xf>
    <x:xf numFmtId="49" fontId="66" fillId="24" borderId="110" xfId="0" applyNumberFormat="1" applyFont="1" applyFill="1" applyBorder="1" applyAlignment="1">
      <x:alignment horizontal="center" vertical="top" wrapText="0"/>
    </x:xf>
    <x:xf numFmtId="49" fontId="67" fillId="24" borderId="111" xfId="0" applyNumberFormat="1" applyFont="1" applyFill="1" applyBorder="1" applyAlignment="1">
      <x:alignment horizontal="center" vertical="top" wrapText="0"/>
    </x:xf>
    <x:xf numFmtId="49" fontId="66" fillId="24" borderId="109" xfId="0" applyNumberFormat="1" applyFont="1" applyFill="1" applyBorder="1" applyAlignment="1">
      <x:alignment vertical="center" wrapText="0"/>
    </x:xf>
    <x:xf numFmtId="49" fontId="66" fillId="24" borderId="110" xfId="0" applyNumberFormat="1" applyFont="1" applyFill="1" applyBorder="1" applyAlignment="1">
      <x:alignment horizontal="center" vertical="center" wrapText="0"/>
    </x:xf>
    <x:xf numFmtId="49" fontId="67" fillId="24" borderId="111" xfId="0" applyNumberFormat="1" applyFont="1" applyFill="1" applyBorder="1" applyAlignment="1">
      <x:alignment horizontal="center" vertical="center" wrapText="0"/>
    </x:xf>
    <x:xf numFmtId="49" fontId="61" fillId="25" borderId="112" xfId="0" applyNumberFormat="1" applyFont="1" applyFill="1" applyBorder="1" applyAlignment="1">
      <x:alignment horizontal="left" vertical="top" wrapText="0"/>
    </x:xf>
    <x:xf numFmtId="0" fontId="61" fillId="25" borderId="76" xfId="0" applyNumberFormat="1" applyFont="1" applyFill="1" applyBorder="1" applyAlignment="1">
      <x:alignment horizontal="center" vertical="top" wrapText="0"/>
    </x:xf>
    <x:xf numFmtId="0" fontId="62" fillId="25" borderId="76" xfId="0" applyNumberFormat="1" applyFont="1" applyFill="1" applyBorder="1" applyAlignment="1">
      <x:alignment horizontal="center" vertical="top" wrapText="0"/>
    </x:xf>
    <x:xf numFmtId="0" fontId="60" fillId="25" borderId="113" xfId="0" applyNumberFormat="1" applyFont="1" applyFill="1" applyBorder="1" applyAlignment="1">
      <x:alignment horizontal="center" vertical="top" wrapText="0"/>
    </x:xf>
    <x:xf numFmtId="49" fontId="68" fillId="25" borderId="112" xfId="0" applyNumberFormat="1" applyFont="1" applyFill="1" applyBorder="1" applyAlignment="1">
      <x:alignment horizontal="left" vertical="top" wrapText="0"/>
    </x:xf>
    <x:xf numFmtId="0" fontId="68" fillId="25" borderId="76" xfId="0" applyNumberFormat="1" applyFont="1" applyFill="1" applyBorder="1" applyAlignment="1">
      <x:alignment horizontal="center" vertical="top" wrapText="0"/>
    </x:xf>
    <x:xf numFmtId="0" fontId="69" fillId="25" borderId="76" xfId="0" applyNumberFormat="1" applyFont="1" applyFill="1" applyBorder="1" applyAlignment="1">
      <x:alignment horizontal="center" vertical="top" wrapText="0"/>
    </x:xf>
    <x:xf numFmtId="0" fontId="70" fillId="25" borderId="113" xfId="0" applyNumberFormat="1" applyFont="1" applyFill="1" applyBorder="1" applyAlignment="1">
      <x:alignment horizontal="center" vertical="top" wrapText="0"/>
    </x:xf>
    <x:xf numFmtId="49" fontId="68" fillId="25" borderId="76" xfId="0" applyNumberFormat="1" applyFont="1" applyFill="1" applyBorder="1" applyAlignment="1">
      <x:alignment horizontal="left" vertical="top" wrapText="0"/>
    </x:xf>
    <x:xf numFmtId="0" fontId="70" fillId="25" borderId="76" xfId="0" applyNumberFormat="1" applyFont="1" applyFill="1" applyBorder="1" applyAlignment="1">
      <x:alignment horizontal="center" vertical="top" wrapText="0"/>
    </x:xf>
    <x:xf numFmtId="49" fontId="68" fillId="25" borderId="76" xfId="0" applyNumberFormat="1" applyFont="1" applyFill="1" applyBorder="1" applyAlignment="1">
      <x:alignment horizontal="left" vertical="top" wrapText="1"/>
    </x:xf>
    <x:xf numFmtId="0" fontId="68" fillId="25" borderId="76" xfId="0" applyNumberFormat="1" applyFont="1" applyFill="1" applyBorder="1" applyAlignment="1">
      <x:alignment horizontal="center" vertical="top" wrapText="1"/>
    </x:xf>
    <x:xf numFmtId="0" fontId="69" fillId="25" borderId="76" xfId="0" applyNumberFormat="1" applyFont="1" applyFill="1" applyBorder="1" applyAlignment="1">
      <x:alignment horizontal="center" vertical="top" wrapText="1"/>
    </x:xf>
    <x:xf numFmtId="0" fontId="70" fillId="25" borderId="76" xfId="0" applyNumberFormat="1" applyFont="1" applyFill="1" applyBorder="1" applyAlignment="1">
      <x:alignment horizontal="center" vertical="top" wrapText="1"/>
    </x:xf>
    <x:xf numFmtId="49" fontId="68" fillId="25" borderId="76" xfId="0" applyNumberFormat="1" applyFont="1" applyFill="1" applyBorder="1" applyAlignment="1">
      <x:alignment horizontal="left" vertical="center" wrapText="1"/>
    </x:xf>
    <x:xf numFmtId="0" fontId="68" fillId="25" borderId="76" xfId="0" applyNumberFormat="1" applyFont="1" applyFill="1" applyBorder="1" applyAlignment="1">
      <x:alignment horizontal="center" vertical="center" wrapText="1"/>
    </x:xf>
    <x:xf numFmtId="0" fontId="69" fillId="25" borderId="76" xfId="0" applyNumberFormat="1" applyFont="1" applyFill="1" applyBorder="1" applyAlignment="1">
      <x:alignment horizontal="center" vertical="center" wrapText="1"/>
    </x:xf>
    <x:xf numFmtId="0" fontId="70" fillId="25" borderId="76" xfId="0" applyNumberFormat="1" applyFont="1" applyFill="1" applyBorder="1" applyAlignment="1">
      <x:alignment horizontal="center" vertical="center" wrapText="1"/>
    </x:xf>
    <x:xf numFmtId="49" fontId="58" fillId="25" borderId="112" xfId="0" applyNumberFormat="1" applyFont="1" applyFill="1" applyBorder="1" applyAlignment="1">
      <x:alignment horizontal="left" vertical="top" wrapText="0"/>
    </x:xf>
    <x:xf numFmtId="0" fontId="58" fillId="25" borderId="76" xfId="0" applyNumberFormat="1" applyFont="1" applyFill="1" applyBorder="1" applyAlignment="1">
      <x:alignment horizontal="center" vertical="top" wrapText="0"/>
    </x:xf>
    <x:xf numFmtId="0" fontId="63" fillId="25" borderId="113" xfId="0" applyNumberFormat="1" applyFont="1" applyFill="1" applyBorder="1" applyAlignment="1">
      <x:alignment horizontal="center" vertical="top" wrapText="0"/>
    </x:xf>
    <x:xf numFmtId="49" fontId="64" fillId="25" borderId="112" xfId="0" applyNumberFormat="1" applyFont="1" applyFill="1" applyBorder="1" applyAlignment="1">
      <x:alignment vertical="top" wrapText="0"/>
    </x:xf>
    <x:xf numFmtId="3" fontId="58" fillId="25" borderId="76" xfId="0" applyNumberFormat="1" applyFont="1" applyFill="1" applyBorder="1" applyAlignment="1">
      <x:alignment horizontal="center" vertical="top" wrapText="0"/>
    </x:xf>
    <x:xf numFmtId="0" fontId="61" fillId="25" borderId="76" xfId="0" applyNumberFormat="1" applyFont="1" applyFill="1" applyBorder="1" applyAlignment="1">
      <x:alignment vertical="top" wrapText="0"/>
    </x:xf>
    <x:xf numFmtId="0" fontId="61" fillId="25" borderId="113" xfId="0" applyNumberFormat="1" applyFont="1" applyFill="1" applyBorder="1" applyAlignment="1">
      <x:alignment vertical="top" wrapText="0"/>
    </x:xf>
    <x:xf numFmtId="49" fontId="71" fillId="25" borderId="112" xfId="0" applyNumberFormat="1" applyFont="1" applyFill="1" applyBorder="1" applyAlignment="1">
      <x:alignment vertical="top" wrapText="0"/>
    </x:xf>
    <x:xf numFmtId="3" fontId="68" fillId="25" borderId="76" xfId="0" applyNumberFormat="1" applyFont="1" applyFill="1" applyBorder="1" applyAlignment="1">
      <x:alignment horizontal="center" vertical="top" wrapText="0"/>
    </x:xf>
    <x:xf numFmtId="0" fontId="68" fillId="25" borderId="76" xfId="0" applyNumberFormat="1" applyFont="1" applyFill="1" applyBorder="1" applyAlignment="1">
      <x:alignment vertical="top" wrapText="0"/>
    </x:xf>
    <x:xf numFmtId="0" fontId="68" fillId="25" borderId="113" xfId="0" applyNumberFormat="1" applyFont="1" applyFill="1" applyBorder="1" applyAlignment="1">
      <x:alignment vertical="top" wrapText="0"/>
    </x:xf>
    <x:xf numFmtId="49" fontId="71" fillId="25" borderId="76" xfId="0" applyNumberFormat="1" applyFont="1" applyFill="1" applyBorder="1" applyAlignment="1">
      <x:alignment vertical="top" wrapText="0"/>
    </x:xf>
    <x:xf numFmtId="49" fontId="71" fillId="25" borderId="76" xfId="0" applyNumberFormat="1" applyFont="1" applyFill="1" applyBorder="1" applyAlignment="1">
      <x:alignment vertical="top" wrapText="1"/>
    </x:xf>
    <x:xf numFmtId="3" fontId="68" fillId="25" borderId="76" xfId="0" applyNumberFormat="1" applyFont="1" applyFill="1" applyBorder="1" applyAlignment="1">
      <x:alignment horizontal="center" vertical="top" wrapText="1"/>
    </x:xf>
    <x:xf numFmtId="0" fontId="68" fillId="25" borderId="76" xfId="0" applyNumberFormat="1" applyFont="1" applyFill="1" applyBorder="1" applyAlignment="1">
      <x:alignment vertical="top" wrapText="1"/>
    </x:xf>
    <x:xf numFmtId="49" fontId="71" fillId="25" borderId="76" xfId="0" applyNumberFormat="1" applyFont="1" applyFill="1" applyBorder="1" applyAlignment="1">
      <x:alignment vertical="center" wrapText="1"/>
    </x:xf>
    <x:xf numFmtId="3" fontId="68" fillId="25" borderId="76" xfId="0" applyNumberFormat="1" applyFont="1" applyFill="1" applyBorder="1" applyAlignment="1">
      <x:alignment horizontal="center" vertical="center" wrapText="1"/>
    </x:xf>
    <x:xf numFmtId="0" fontId="68" fillId="25" borderId="76" xfId="0" applyNumberFormat="1" applyFont="1" applyFill="1" applyBorder="1" applyAlignment="1">
      <x:alignment vertical="center" wrapText="1"/>
    </x:xf>
    <x:xf numFmtId="49" fontId="58" fillId="25" borderId="112" xfId="0" applyNumberFormat="1" applyFont="1" applyFill="1" applyBorder="1" applyAlignment="1">
      <x:alignment vertical="top" wrapText="0"/>
    </x:xf>
    <x:xf numFmtId="49" fontId="58" fillId="25" borderId="76" xfId="0" applyNumberFormat="1" applyFont="1" applyFill="1" applyBorder="1" applyAlignment="1">
      <x:alignment horizontal="center" vertical="top" wrapText="0"/>
    </x:xf>
    <x:xf numFmtId="49" fontId="63" fillId="25" borderId="113" xfId="0" applyNumberFormat="1" applyFont="1" applyFill="1" applyBorder="1" applyAlignment="1">
      <x:alignment horizontal="center" vertical="top" wrapText="0"/>
    </x:xf>
    <x:xf numFmtId="49" fontId="68" fillId="25" borderId="112" xfId="0" applyNumberFormat="1" applyFont="1" applyFill="1" applyBorder="1" applyAlignment="1">
      <x:alignment vertical="top" wrapText="0"/>
    </x:xf>
    <x:xf numFmtId="49" fontId="68" fillId="25" borderId="76" xfId="0" applyNumberFormat="1" applyFont="1" applyFill="1" applyBorder="1" applyAlignment="1">
      <x:alignment horizontal="center" vertical="top" wrapText="0"/>
    </x:xf>
    <x:xf numFmtId="49" fontId="70" fillId="25" borderId="113" xfId="0" applyNumberFormat="1" applyFont="1" applyFill="1" applyBorder="1" applyAlignment="1">
      <x:alignment horizontal="center" vertical="top" wrapText="0"/>
    </x:xf>
    <x:xf numFmtId="49" fontId="68" fillId="25" borderId="76" xfId="0" applyNumberFormat="1" applyFont="1" applyFill="1" applyBorder="1" applyAlignment="1">
      <x:alignment vertical="top" wrapText="0"/>
    </x:xf>
    <x:xf numFmtId="49" fontId="70" fillId="25" borderId="76" xfId="0" applyNumberFormat="1" applyFont="1" applyFill="1" applyBorder="1" applyAlignment="1">
      <x:alignment horizontal="center" vertical="top" wrapText="0"/>
    </x:xf>
    <x:xf numFmtId="49" fontId="68" fillId="25" borderId="76" xfId="0" applyNumberFormat="1" applyFont="1" applyFill="1" applyBorder="1" applyAlignment="1">
      <x:alignment vertical="top" wrapText="1"/>
    </x:xf>
    <x:xf numFmtId="49" fontId="68" fillId="25" borderId="76" xfId="0" applyNumberFormat="1" applyFont="1" applyFill="1" applyBorder="1" applyAlignment="1">
      <x:alignment horizontal="center" vertical="top" wrapText="1"/>
    </x:xf>
    <x:xf numFmtId="49" fontId="70" fillId="25" borderId="76" xfId="0" applyNumberFormat="1" applyFont="1" applyFill="1" applyBorder="1" applyAlignment="1">
      <x:alignment horizontal="center" vertical="top" wrapText="1"/>
    </x:xf>
    <x:xf numFmtId="49" fontId="68" fillId="25" borderId="76" xfId="0" applyNumberFormat="1" applyFont="1" applyFill="1" applyBorder="1" applyAlignment="1">
      <x:alignment vertical="center" wrapText="1"/>
    </x:xf>
    <x:xf numFmtId="49" fontId="68" fillId="25" borderId="76" xfId="0" applyNumberFormat="1" applyFont="1" applyFill="1" applyBorder="1" applyAlignment="1">
      <x:alignment horizontal="center" vertical="center" wrapText="1"/>
    </x:xf>
    <x:xf numFmtId="49" fontId="70" fillId="25" borderId="76" xfId="0" applyNumberFormat="1" applyFont="1" applyFill="1" applyBorder="1" applyAlignment="1">
      <x:alignment horizontal="center" vertical="center" wrapText="1"/>
    </x:xf>
    <x:xf numFmtId="49" fontId="58" fillId="25" borderId="113" xfId="0" applyNumberFormat="1" applyFont="1" applyFill="1" applyBorder="1" applyAlignment="1">
      <x:alignment horizontal="center" vertical="top" wrapText="0"/>
    </x:xf>
    <x:xf numFmtId="49" fontId="68" fillId="25" borderId="113" xfId="0" applyNumberFormat="1" applyFont="1" applyFill="1" applyBorder="1" applyAlignment="1">
      <x:alignment horizontal="center" vertical="top" wrapText="0"/>
    </x:xf>
    <x:xf numFmtId="49" fontId="61" fillId="25" borderId="112" xfId="0" applyNumberFormat="1" applyFont="1" applyFill="1" applyBorder="1" applyAlignment="1">
      <x:alignment vertical="top" wrapText="0"/>
    </x:xf>
    <x:xf numFmtId="49" fontId="64" fillId="25" borderId="114" xfId="0" applyNumberFormat="1" applyFont="1" applyFill="1" applyBorder="1" applyAlignment="1">
      <x:alignment vertical="top" wrapText="0"/>
    </x:xf>
    <x:xf numFmtId="0" fontId="61" fillId="25" borderId="115" xfId="0" applyNumberFormat="1" applyFont="1" applyFill="1" applyBorder="1" applyAlignment="1">
      <x:alignment horizontal="center" vertical="top" wrapText="0"/>
    </x:xf>
    <x:xf numFmtId="0" fontId="61" fillId="25" borderId="115" xfId="0" applyNumberFormat="1" applyFont="1" applyFill="1" applyBorder="1" applyAlignment="1">
      <x:alignment vertical="top" wrapText="0"/>
    </x:xf>
    <x:xf numFmtId="0" fontId="61" fillId="25" borderId="116" xfId="0" applyNumberFormat="1" applyFont="1" applyFill="1" applyBorder="1" applyAlignment="1">
      <x:alignment vertical="top" wrapText="0"/>
    </x:xf>
    <x:xf numFmtId="49" fontId="71" fillId="25" borderId="114" xfId="0" applyNumberFormat="1" applyFont="1" applyFill="1" applyBorder="1" applyAlignment="1">
      <x:alignment vertical="top" wrapText="0"/>
    </x:xf>
    <x:xf numFmtId="0" fontId="68" fillId="25" borderId="115" xfId="0" applyNumberFormat="1" applyFont="1" applyFill="1" applyBorder="1" applyAlignment="1">
      <x:alignment horizontal="center" vertical="top" wrapText="0"/>
    </x:xf>
    <x:xf numFmtId="0" fontId="68" fillId="25" borderId="115" xfId="0" applyNumberFormat="1" applyFont="1" applyFill="1" applyBorder="1" applyAlignment="1">
      <x:alignment vertical="top" wrapText="0"/>
    </x:xf>
    <x:xf numFmtId="0" fontId="68" fillId="25" borderId="116" xfId="0" applyNumberFormat="1" applyFont="1" applyFill="1" applyBorder="1" applyAlignment="1">
      <x:alignment vertical="top" wrapText="0"/>
    </x:xf>
    <x:xf numFmtId="0" fontId="19" fillId="23" borderId="7" xfId="0" applyNumberFormat="1" applyFont="1" applyFill="1" applyBorder="1" applyAlignment="1">
      <x:alignment horizontal="center"/>
    </x:xf>
    <x:xf numFmtId="0" fontId="19" fillId="23" borderId="7" xfId="0" applyNumberFormat="1" applyFont="1" applyFill="1" applyBorder="1"/>
    <x:xf numFmtId="49" fontId="20" fillId="23" borderId="7" xfId="0" applyNumberFormat="1" applyFont="1" applyFill="1" applyBorder="1"/>
    <x:xf numFmtId="49" fontId="0" fillId="23" borderId="42" xfId="0" applyNumberFormat="1" applyFont="1" applyFill="1" applyBorder="1"/>
    <x:xf numFmtId="0" fontId="12" fillId="23" borderId="42" xfId="0" applyNumberFormat="1" applyFont="1" applyFill="1" applyBorder="1"/>
    <x:xf numFmtId="0" fontId="12" fillId="23" borderId="20" xfId="0" applyNumberFormat="1" applyFont="1" applyFill="1" applyBorder="1"/>
    <x:xf numFmtId="49" fontId="21" fillId="23" borderId="41" xfId="0" applyNumberFormat="1" applyFont="1" applyFill="1" applyBorder="1" applyAlignment="1">
      <x:alignment horizontal="left" vertical="center"/>
    </x:xf>
    <x:xf numFmtId="49" fontId="15" fillId="23" borderId="37" xfId="0" applyNumberFormat="1" applyFont="1" applyFill="1" applyBorder="1" applyAlignment="1">
      <x:alignment horizontal="center" vertical="center" wrapText="1"/>
    </x:xf>
    <x:xf numFmtId="0" fontId="15" fillId="23" borderId="38" xfId="0" applyNumberFormat="1" applyFont="1" applyFill="1" applyBorder="1" applyAlignment="1">
      <x:alignment horizontal="center" vertical="center" wrapText="1"/>
    </x:xf>
    <x:xf numFmtId="0" fontId="15" fillId="23" borderId="39" xfId="0" applyNumberFormat="1" applyFont="1" applyFill="1" applyBorder="1" applyAlignment="1">
      <x:alignment horizontal="center" vertical="center" wrapText="1"/>
    </x:xf>
    <x:xf numFmtId="0" fontId="12" fillId="23" borderId="4" xfId="0" applyNumberFormat="1" applyFont="1" applyFill="1" applyBorder="1"/>
    <x:xf numFmtId="0" fontId="12" fillId="23" borderId="1" xfId="0" applyNumberFormat="1" applyFont="1" applyFill="1" applyBorder="1"/>
    <x:xf numFmtId="0" fontId="21" fillId="23" borderId="43" xfId="0" applyNumberFormat="1" applyFont="1" applyFill="1" applyBorder="1" applyAlignment="1">
      <x:alignment horizontal="center" vertical="center"/>
    </x:xf>
    <x:xf numFmtId="49" fontId="14" fillId="23" borderId="3" xfId="0" applyNumberFormat="1" applyFont="1" applyFill="1" applyBorder="1" applyAlignment="1">
      <x:alignment horizontal="center" vertical="center" wrapText="1"/>
    </x:xf>
    <x:xf numFmtId="0" fontId="12" fillId="23" borderId="44" xfId="0" applyNumberFormat="1" applyFont="1" applyFill="1" applyBorder="1"/>
    <x:xf numFmtId="0" fontId="0" fillId="23" borderId="4" xfId="0" applyNumberFormat="1" applyFont="1" applyFill="1" applyBorder="1"/>
    <x:xf numFmtId="49" fontId="12" fillId="23" borderId="3" xfId="0" applyNumberFormat="1" applyFont="1" applyFill="1" applyBorder="1" applyAlignment="1">
      <x:alignment vertical="center"/>
    </x:xf>
    <x:xf numFmtId="3" fontId="12" fillId="23" borderId="3" xfId="0" applyNumberFormat="1" applyFont="1" applyFill="1" applyBorder="1" applyAlignment="1">
      <x:alignment horizontal="center" vertical="center"/>
    </x:xf>
    <x:xf numFmtId="9" fontId="12" fillId="23" borderId="3" xfId="0" applyNumberFormat="1" applyFont="1" applyFill="1" applyBorder="1" applyAlignment="1">
      <x:alignment horizontal="center" vertical="center"/>
    </x:xf>
    <x:xf numFmtId="49" fontId="15" fillId="23" borderId="3" xfId="0" applyNumberFormat="1" applyFont="1" applyFill="1" applyBorder="1" applyAlignment="1">
      <x:alignment horizontal="center" vertical="center"/>
    </x:xf>
    <x:xf numFmtId="3" fontId="15" fillId="23" borderId="3" xfId="0" applyNumberFormat="1" applyFont="1" applyFill="1" applyBorder="1" applyAlignment="1">
      <x:alignment horizontal="center" vertical="center"/>
    </x:xf>
    <x:xf numFmtId="9" fontId="14" fillId="23" borderId="3" xfId="0" applyNumberFormat="1" applyFont="1" applyFill="1" applyBorder="1" applyAlignment="1">
      <x:alignment horizontal="center" vertical="center"/>
    </x:xf>
    <x:xf numFmtId="49" fontId="22" fillId="23" borderId="5" xfId="0" applyNumberFormat="1" applyFont="1" applyFill="1" applyBorder="1" applyAlignment="1">
      <x:alignment vertical="center"/>
    </x:xf>
    <x:xf numFmtId="0" fontId="12" fillId="23" borderId="5" xfId="0" applyNumberFormat="1" applyFont="1" applyFill="1" applyBorder="1"/>
    <x:xf numFmtId="0" fontId="23" fillId="23" borderId="5" xfId="0" applyNumberFormat="1" applyFont="1" applyFill="1" applyBorder="1" applyAlignment="1">
      <x:alignment vertical="center" wrapText="1"/>
    </x:xf>
    <x:xf numFmtId="0" fontId="12" fillId="23" borderId="2" xfId="0" applyNumberFormat="1" applyFont="1" applyFill="1" applyBorder="1"/>
    <x:xf numFmtId="49" fontId="15" fillId="23" borderId="3" xfId="0" applyNumberFormat="1" applyFont="1" applyFill="1" applyBorder="1" applyAlignment="1">
      <x:alignment vertical="center"/>
    </x:xf>
    <x:xf numFmtId="49" fontId="12" fillId="23" borderId="3" xfId="0" applyNumberFormat="1" applyFont="1" applyFill="1" applyBorder="1" applyAlignment="1">
      <x:alignment horizontal="left" vertical="center"/>
    </x:xf>
    <x:xf numFmtId="165" fontId="12" fillId="23" borderId="3" xfId="0" applyNumberFormat="1" applyFont="1" applyFill="1" applyBorder="1" applyAlignment="1">
      <x:alignment horizontal="center" vertical="center"/>
    </x:xf>
    <x:xf numFmtId="49" fontId="24" fillId="23" borderId="2" xfId="0" applyNumberFormat="1" applyFont="1" applyFill="1" applyBorder="1" applyAlignment="1">
      <x:alignment wrapText="1"/>
    </x:xf>
    <x:xf numFmtId="0" fontId="25" fillId="23" borderId="2" xfId="0" applyNumberFormat="1" applyFont="1" applyFill="1" applyBorder="1" applyAlignment="1">
      <x:alignment vertical="center"/>
    </x:xf>
    <x:xf numFmtId="0" fontId="26" fillId="23" borderId="1" xfId="0" applyNumberFormat="1" applyFont="1" applyFill="1" applyBorder="1" applyAlignment="1">
      <x:alignment vertical="center"/>
    </x:xf>
    <x:xf numFmtId="49" fontId="15" fillId="23" borderId="3" xfId="0" applyNumberFormat="1" applyFont="1" applyFill="1" applyBorder="1" applyAlignment="1">
      <x:alignment vertical="center" wrapText="1"/>
    </x:xf>
    <x:xf numFmtId="0" fontId="16" fillId="23" borderId="2" xfId="0" applyNumberFormat="1" applyFont="1" applyFill="1" applyBorder="1" applyAlignment="1">
      <x:alignment vertical="center"/>
    </x:xf>
    <x:xf numFmtId="0" fontId="26" fillId="23" borderId="2" xfId="0" applyNumberFormat="1" applyFont="1" applyFill="1" applyBorder="1" applyAlignment="1">
      <x:alignment vertical="center" wrapText="1"/>
    </x:xf>
    <x:xf numFmtId="0" fontId="16" fillId="23" borderId="1" xfId="0" applyNumberFormat="1" applyFont="1" applyFill="1" applyBorder="1" applyAlignment="1">
      <x:alignment vertical="center"/>
    </x:xf>
    <x:xf numFmtId="49" fontId="12" fillId="23" borderId="3" xfId="0" applyNumberFormat="1" applyFont="1" applyFill="1" applyBorder="1" applyAlignment="1">
      <x:alignment vertical="center" wrapText="1"/>
    </x:xf>
    <x:xf numFmtId="49" fontId="14" fillId="23" borderId="3" xfId="0" applyNumberFormat="1" applyFont="1" applyFill="1" applyBorder="1" applyAlignment="1">
      <x:alignment horizontal="center" vertical="center"/>
    </x:xf>
    <x:xf numFmtId="0" fontId="14" fillId="23" borderId="3" xfId="0" applyNumberFormat="1" applyFont="1" applyFill="1" applyBorder="1" applyAlignment="1">
      <x:alignment horizontal="center" vertical="center"/>
    </x:xf>
    <x:xf numFmtId="0" fontId="16" fillId="23" borderId="45" xfId="0" applyNumberFormat="1" applyFont="1" applyFill="1" applyBorder="1"/>
    <x:xf numFmtId="0" fontId="12" fillId="23" borderId="45" xfId="0" applyNumberFormat="1" applyFont="1" applyFill="1" applyBorder="1"/>
    <x:xf numFmtId="0" fontId="0" fillId="23" borderId="45" xfId="0" applyNumberFormat="1" applyFont="1" applyFill="1" applyBorder="1"/>
    <x:xf numFmtId="49" fontId="2" fillId="23" borderId="19" xfId="0" applyNumberFormat="1" applyFont="1" applyFill="1" applyBorder="1" applyAlignment="1">
      <x:alignment horizontal="left" vertical="center"/>
    </x:xf>
    <x:xf numFmtId="0" fontId="12" fillId="23" borderId="0" xfId="0" applyNumberFormat="1" applyFont="1" applyFill="1" applyBorder="1" applyAlignment="1">
      <x:alignment horizontal="center"/>
    </x:xf>
    <x:xf numFmtId="0" fontId="12" fillId="23" borderId="0" xfId="0" applyNumberFormat="1" applyFont="1" applyFill="1" applyBorder="1"/>
    <x:xf numFmtId="49" fontId="20" fillId="23" borderId="0" xfId="0" applyNumberFormat="1" applyFont="1" applyFill="1" applyBorder="1"/>
    <x:xf numFmtId="0" fontId="12" fillId="23" borderId="47" xfId="0" applyNumberFormat="1" applyFont="1" applyFill="1" applyBorder="1"/>
    <x:xf numFmtId="0" fontId="14" fillId="23" borderId="42" xfId="0" applyNumberFormat="1" applyFont="1" applyFill="1" applyBorder="1" applyAlignment="1">
      <x:alignment vertical="center"/>
    </x:xf>
    <x:xf numFmtId="49" fontId="21" fillId="23" borderId="41" xfId="0" applyNumberFormat="1" applyFont="1" applyFill="1" applyBorder="1" applyAlignment="1">
      <x:alignment horizontal="center" vertical="center"/>
    </x:xf>
    <x:xf numFmtId="0" fontId="12" fillId="23" borderId="48" xfId="0" applyNumberFormat="1" applyFont="1" applyFill="1" applyBorder="1"/>
    <x:xf numFmtId="0" fontId="26" fillId="23" borderId="2" xfId="0" applyNumberFormat="1" applyFont="1" applyFill="1" applyBorder="1" applyAlignment="1">
      <x:alignment vertical="center"/>
    </x:xf>
    <x:xf numFmtId="0" fontId="12" fillId="23" borderId="2" xfId="0" applyNumberFormat="1" applyFont="1" applyFill="1" applyBorder="1" applyAlignment="1">
      <x:alignment horizontal="center"/>
    </x:xf>
    <x:xf numFmtId="0" fontId="12" fillId="23" borderId="1" xfId="0" applyNumberFormat="1" applyFont="1" applyFill="1" applyBorder="1" applyAlignment="1">
      <x:alignment horizontal="center"/>
    </x:xf>
    <x:xf numFmtId="165" fontId="12" fillId="23" borderId="3" xfId="0" applyNumberFormat="1" applyFont="1" applyFill="1" applyBorder="1" applyAlignment="1">
      <x:alignment horizontal="center" vertical="center" wrapText="1"/>
    </x:xf>
    <x:xf numFmtId="49" fontId="15" fillId="23" borderId="1" xfId="0" applyNumberFormat="1" applyFont="1" applyFill="1" applyBorder="1" applyAlignment="1">
      <x:alignment vertical="center"/>
    </x:xf>
    <x:xf numFmtId="0" fontId="26" fillId="23" borderId="5" xfId="0" applyNumberFormat="1" applyFont="1" applyFill="1" applyBorder="1"/>
    <x:xf numFmtId="0" fontId="23" fillId="23" borderId="4" xfId="0" applyNumberFormat="1" applyFont="1" applyFill="1" applyBorder="1" applyAlignment="1">
      <x:alignment vertical="center" wrapText="1"/>
    </x:xf>
    <x:xf numFmtId="49" fontId="16" fillId="23" borderId="5" xfId="0" applyNumberFormat="1" applyFont="1" applyFill="1" applyBorder="1"/>
    <x:xf numFmtId="3" fontId="14" fillId="23" borderId="3" xfId="0" applyNumberFormat="1" applyFont="1" applyFill="1" applyBorder="1" applyAlignment="1">
      <x:alignment horizontal="center" vertical="center"/>
    </x:xf>
    <x:xf numFmtId="49" fontId="16" fillId="23" borderId="2" xfId="0" applyNumberFormat="1" applyFont="1" applyFill="1" applyBorder="1"/>
    <x:xf numFmtId="49" fontId="63" fillId="23" borderId="6" xfId="0" applyNumberFormat="1" applyFont="1" applyFill="1" applyBorder="1" applyAlignment="1">
      <x:alignment horizontal="left" vertical="center"/>
    </x:xf>
    <x:xf numFmtId="0" fontId="60" fillId="23" borderId="7" xfId="0" applyNumberFormat="1" applyFont="1" applyFill="1" applyBorder="1" applyAlignment="1">
      <x:alignment horizontal="center"/>
    </x:xf>
    <x:xf numFmtId="0" fontId="60" fillId="23" borderId="7" xfId="0" applyNumberFormat="1" applyFont="1" applyFill="1" applyBorder="1"/>
    <x:xf numFmtId="49" fontId="63" fillId="23" borderId="7" xfId="0" applyNumberFormat="1" applyFont="1" applyFill="1" applyBorder="1"/>
    <x:xf numFmtId="0" fontId="61" fillId="23" borderId="8" xfId="0" applyNumberFormat="1" applyFont="1" applyFill="1" applyBorder="1"/>
    <x:xf numFmtId="49" fontId="61" fillId="23" borderId="42" xfId="0" applyNumberFormat="1" applyFont="1" applyFill="1" applyBorder="1"/>
    <x:xf numFmtId="0" fontId="60" fillId="23" borderId="42" xfId="0" applyNumberFormat="1" applyFont="1" applyFill="1" applyBorder="1"/>
    <x:xf numFmtId="0" fontId="60" fillId="23" borderId="20" xfId="0" applyNumberFormat="1" applyFont="1" applyFill="1" applyBorder="1"/>
    <x:xf numFmtId="49" fontId="63" fillId="23" borderId="41" xfId="0" applyNumberFormat="1" applyFont="1" applyFill="1" applyBorder="1" applyAlignment="1">
      <x:alignment horizontal="left" vertical="center"/>
    </x:xf>
    <x:xf numFmtId="49" fontId="63" fillId="23" borderId="37" xfId="0" applyNumberFormat="1" applyFont="1" applyFill="1" applyBorder="1" applyAlignment="1">
      <x:alignment horizontal="center" vertical="center" wrapText="1"/>
    </x:xf>
    <x:xf numFmtId="0" fontId="63" fillId="23" borderId="38" xfId="0" applyNumberFormat="1" applyFont="1" applyFill="1" applyBorder="1" applyAlignment="1">
      <x:alignment horizontal="center" vertical="center" wrapText="1"/>
    </x:xf>
    <x:xf numFmtId="0" fontId="63" fillId="23" borderId="39" xfId="0" applyNumberFormat="1" applyFont="1" applyFill="1" applyBorder="1" applyAlignment="1">
      <x:alignment horizontal="center" vertical="center" wrapText="1"/>
    </x:xf>
    <x:xf numFmtId="0" fontId="60" fillId="23" borderId="4" xfId="0" applyNumberFormat="1" applyFont="1" applyFill="1" applyBorder="1"/>
    <x:xf numFmtId="0" fontId="60" fillId="23" borderId="1" xfId="0" applyNumberFormat="1" applyFont="1" applyFill="1" applyBorder="1"/>
    <x:xf numFmtId="0" fontId="63" fillId="23" borderId="43" xfId="0" applyNumberFormat="1" applyFont="1" applyFill="1" applyBorder="1" applyAlignment="1">
      <x:alignment horizontal="center" vertical="center"/>
    </x:xf>
    <x:xf numFmtId="0" fontId="60" fillId="23" borderId="44" xfId="0" applyNumberFormat="1" applyFont="1" applyFill="1" applyBorder="1"/>
    <x:xf numFmtId="0" fontId="61" fillId="23" borderId="4" xfId="0" applyNumberFormat="1" applyFont="1" applyFill="1" applyBorder="1"/>
    <x:xf numFmtId="49" fontId="60" fillId="23" borderId="3" xfId="0" applyNumberFormat="1" applyFont="1" applyFill="1" applyBorder="1" applyAlignment="1">
      <x:alignment vertical="center"/>
    </x:xf>
    <x:xf numFmtId="3" fontId="60" fillId="23" borderId="3" xfId="0" applyNumberFormat="1" applyFont="1" applyFill="1" applyBorder="1" applyAlignment="1">
      <x:alignment horizontal="center" vertical="center"/>
    </x:xf>
    <x:xf numFmtId="9" fontId="60" fillId="23" borderId="3" xfId="0" applyNumberFormat="1" applyFont="1" applyFill="1" applyBorder="1" applyAlignment="1">
      <x:alignment horizontal="center" vertical="center"/>
    </x:xf>
    <x:xf numFmtId="49" fontId="63" fillId="23" borderId="3" xfId="0" applyNumberFormat="1" applyFont="1" applyFill="1" applyBorder="1" applyAlignment="1">
      <x:alignment horizontal="center" vertical="center"/>
    </x:xf>
    <x:xf numFmtId="3" fontId="63" fillId="23" borderId="3" xfId="0" applyNumberFormat="1" applyFont="1" applyFill="1" applyBorder="1" applyAlignment="1">
      <x:alignment horizontal="center" vertical="center"/>
    </x:xf>
    <x:xf numFmtId="9" fontId="63" fillId="23" borderId="3" xfId="0" applyNumberFormat="1" applyFont="1" applyFill="1" applyBorder="1" applyAlignment="1">
      <x:alignment horizontal="center" vertical="center"/>
    </x:xf>
    <x:xf numFmtId="0" fontId="60" fillId="23" borderId="5" xfId="0" applyNumberFormat="1" applyFont="1" applyFill="1" applyBorder="1"/>
    <x:xf numFmtId="0" fontId="63" fillId="23" borderId="5" xfId="0" applyNumberFormat="1" applyFont="1" applyFill="1" applyBorder="1" applyAlignment="1">
      <x:alignment vertical="center" wrapText="1"/>
    </x:xf>
    <x:xf numFmtId="0" fontId="60" fillId="23" borderId="2" xfId="0" applyNumberFormat="1" applyFont="1" applyFill="1" applyBorder="1"/>
    <x:xf numFmtId="49" fontId="63" fillId="23" borderId="3" xfId="0" applyNumberFormat="1" applyFont="1" applyFill="1" applyBorder="1" applyAlignment="1">
      <x:alignment vertical="center"/>
    </x:xf>
    <x:xf numFmtId="49" fontId="60" fillId="23" borderId="3" xfId="0" applyNumberFormat="1" applyFont="1" applyFill="1" applyBorder="1" applyAlignment="1">
      <x:alignment horizontal="left" vertical="center"/>
    </x:xf>
    <x:xf numFmtId="165" fontId="60" fillId="23" borderId="3" xfId="0" applyNumberFormat="1" applyFont="1" applyFill="1" applyBorder="1" applyAlignment="1">
      <x:alignment horizontal="center" vertical="center"/>
    </x:xf>
    <x:xf numFmtId="49" fontId="72" fillId="23" borderId="2" xfId="0" applyNumberFormat="1" applyFont="1" applyFill="1" applyBorder="1" applyAlignment="1">
      <x:alignment wrapText="1"/>
    </x:xf>
    <x:xf numFmtId="0" fontId="64" fillId="23" borderId="2" xfId="0" applyNumberFormat="1" applyFont="1" applyFill="1" applyBorder="1" applyAlignment="1">
      <x:alignment vertical="center"/>
    </x:xf>
    <x:xf numFmtId="0" fontId="64" fillId="23" borderId="1" xfId="0" applyNumberFormat="1" applyFont="1" applyFill="1" applyBorder="1" applyAlignment="1">
      <x:alignment vertical="center"/>
    </x:xf>
    <x:xf numFmtId="49" fontId="63" fillId="23" borderId="3" xfId="0" applyNumberFormat="1" applyFont="1" applyFill="1" applyBorder="1" applyAlignment="1">
      <x:alignment vertical="center" wrapText="1"/>
    </x:xf>
    <x:xf numFmtId="0" fontId="64" fillId="23" borderId="2" xfId="0" applyNumberFormat="1" applyFont="1" applyFill="1" applyBorder="1" applyAlignment="1">
      <x:alignment vertical="center" wrapText="1"/>
    </x:xf>
    <x:xf numFmtId="49" fontId="60" fillId="23" borderId="3" xfId="0" applyNumberFormat="1" applyFont="1" applyFill="1" applyBorder="1" applyAlignment="1">
      <x:alignment vertical="center" wrapText="1"/>
    </x:xf>
    <x:xf numFmtId="0" fontId="64" fillId="23" borderId="45" xfId="0" applyNumberFormat="1" applyFont="1" applyFill="1" applyBorder="1"/>
    <x:xf numFmtId="0" fontId="60" fillId="23" borderId="45" xfId="0" applyNumberFormat="1" applyFont="1" applyFill="1" applyBorder="1"/>
    <x:xf numFmtId="0" fontId="61" fillId="23" borderId="45" xfId="0" applyNumberFormat="1" applyFont="1" applyFill="1" applyBorder="1"/>
    <x:xf numFmtId="49" fontId="63" fillId="23" borderId="19" xfId="0" applyNumberFormat="1" applyFont="1" applyFill="1" applyBorder="1" applyAlignment="1">
      <x:alignment horizontal="left" vertical="center"/>
    </x:xf>
    <x:xf numFmtId="0" fontId="60" fillId="23" borderId="0" xfId="0" applyNumberFormat="1" applyFont="1" applyFill="1" applyBorder="1" applyAlignment="1">
      <x:alignment horizontal="center"/>
    </x:xf>
    <x:xf numFmtId="0" fontId="60" fillId="23" borderId="0" xfId="0" applyNumberFormat="1" applyFont="1" applyFill="1" applyBorder="1"/>
    <x:xf numFmtId="49" fontId="63" fillId="23" borderId="0" xfId="0" applyNumberFormat="1" applyFont="1" applyFill="1" applyBorder="1"/>
    <x:xf numFmtId="0" fontId="60" fillId="23" borderId="47" xfId="0" applyNumberFormat="1" applyFont="1" applyFill="1" applyBorder="1"/>
    <x:xf numFmtId="0" fontId="63" fillId="23" borderId="42" xfId="0" applyNumberFormat="1" applyFont="1" applyFill="1" applyBorder="1" applyAlignment="1">
      <x:alignment vertical="center"/>
    </x:xf>
    <x:xf numFmtId="49" fontId="63" fillId="23" borderId="41" xfId="0" applyNumberFormat="1" applyFont="1" applyFill="1" applyBorder="1" applyAlignment="1">
      <x:alignment horizontal="center" vertical="center"/>
    </x:xf>
    <x:xf numFmtId="0" fontId="60" fillId="23" borderId="48" xfId="0" applyNumberFormat="1" applyFont="1" applyFill="1" applyBorder="1"/>
    <x:xf numFmtId="0" fontId="60" fillId="23" borderId="2" xfId="0" applyNumberFormat="1" applyFont="1" applyFill="1" applyBorder="1" applyAlignment="1">
      <x:alignment horizontal="center"/>
    </x:xf>
    <x:xf numFmtId="0" fontId="60" fillId="23" borderId="1" xfId="0" applyNumberFormat="1" applyFont="1" applyFill="1" applyBorder="1" applyAlignment="1">
      <x:alignment horizontal="center"/>
    </x:xf>
    <x:xf numFmtId="165" fontId="60" fillId="23" borderId="3" xfId="0" applyNumberFormat="1" applyFont="1" applyFill="1" applyBorder="1" applyAlignment="1">
      <x:alignment horizontal="center" vertical="center" wrapText="1"/>
    </x:xf>
    <x:xf numFmtId="49" fontId="63" fillId="23" borderId="1" xfId="0" applyNumberFormat="1" applyFont="1" applyFill="1" applyBorder="1" applyAlignment="1">
      <x:alignment vertical="center"/>
    </x:xf>
    <x:xf numFmtId="0" fontId="64" fillId="23" borderId="5" xfId="0" applyNumberFormat="1" applyFont="1" applyFill="1" applyBorder="1"/>
    <x:xf numFmtId="0" fontId="63" fillId="23" borderId="4" xfId="0" applyNumberFormat="1" applyFont="1" applyFill="1" applyBorder="1" applyAlignment="1">
      <x:alignment vertical="center" wrapText="1"/>
    </x:xf>
    <x:xf numFmtId="49" fontId="64" fillId="23" borderId="5" xfId="0" applyNumberFormat="1" applyFont="1" applyFill="1" applyBorder="1"/>
    <x:xf numFmtId="49" fontId="64" fillId="23" borderId="2" xfId="0" applyNumberFormat="1" applyFont="1" applyFill="1" applyBorder="1"/>
    <x:xf numFmtId="49" fontId="63" fillId="23" borderId="81" xfId="0" applyNumberFormat="1" applyFont="1" applyFill="1" applyBorder="1" applyAlignment="1">
      <x:alignment horizontal="left" vertical="center"/>
    </x:xf>
    <x:xf numFmtId="0" fontId="60" fillId="23" borderId="82" xfId="0" applyNumberFormat="1" applyFont="1" applyFill="1" applyBorder="1" applyAlignment="1">
      <x:alignment horizontal="center"/>
    </x:xf>
    <x:xf numFmtId="0" fontId="60" fillId="23" borderId="82" xfId="0" applyNumberFormat="1" applyFont="1" applyFill="1" applyBorder="1"/>
    <x:xf numFmtId="49" fontId="63" fillId="23" borderId="82" xfId="0" applyNumberFormat="1" applyFont="1" applyFill="1" applyBorder="1"/>
    <x:xf numFmtId="0" fontId="61" fillId="23" borderId="82" xfId="0" applyNumberFormat="1" applyFont="1" applyFill="1" applyBorder="1"/>
    <x:xf numFmtId="0" fontId="61" fillId="23" borderId="89" xfId="0" applyNumberFormat="1" applyFont="1" applyFill="1" applyBorder="1"/>
    <x:xf numFmtId="49" fontId="61" fillId="23" borderId="84" xfId="0" applyNumberFormat="1" applyFont="1" applyFill="1" applyBorder="1"/>
    <x:xf numFmtId="0" fontId="60" fillId="23" borderId="76" xfId="0" applyNumberFormat="1" applyFont="1" applyFill="1" applyBorder="1"/>
    <x:xf numFmtId="0" fontId="61" fillId="23" borderId="90" xfId="0" applyNumberFormat="1" applyFont="1" applyFill="1" applyBorder="1"/>
    <x:xf numFmtId="49" fontId="63" fillId="23" borderId="84" xfId="0" applyNumberFormat="1" applyFont="1" applyFill="1" applyBorder="1" applyAlignment="1">
      <x:alignment horizontal="left" vertical="center"/>
    </x:xf>
    <x:xf numFmtId="49" fontId="63" fillId="23" borderId="76" xfId="0" applyNumberFormat="1" applyFont="1" applyFill="1" applyBorder="1" applyAlignment="1">
      <x:alignment horizontal="center" vertical="center" wrapText="1"/>
    </x:xf>
    <x:xf numFmtId="0" fontId="63" fillId="23" borderId="76" xfId="0" applyNumberFormat="1" applyFont="1" applyFill="1" applyBorder="1" applyAlignment="1">
      <x:alignment horizontal="center" vertical="center" wrapText="1"/>
    </x:xf>
    <x:xf numFmtId="0" fontId="63" fillId="23" borderId="84" xfId="0" applyNumberFormat="1" applyFont="1" applyFill="1" applyBorder="1" applyAlignment="1">
      <x:alignment horizontal="center" vertical="center"/>
    </x:xf>
    <x:xf numFmtId="49" fontId="60" fillId="23" borderId="84" xfId="0" applyNumberFormat="1" applyFont="1" applyFill="1" applyBorder="1" applyAlignment="1">
      <x:alignment vertical="center"/>
    </x:xf>
    <x:xf numFmtId="3" fontId="60" fillId="23" borderId="76" xfId="0" applyNumberFormat="1" applyFont="1" applyFill="1" applyBorder="1" applyAlignment="1">
      <x:alignment horizontal="center" vertical="center"/>
    </x:xf>
    <x:xf numFmtId="9" fontId="60" fillId="23" borderId="76" xfId="0" applyNumberFormat="1" applyFont="1" applyFill="1" applyBorder="1" applyAlignment="1">
      <x:alignment horizontal="center" vertical="center"/>
    </x:xf>
    <x:xf numFmtId="0" fontId="60" fillId="23" borderId="76" xfId="0" applyNumberFormat="1" applyFont="1" applyFill="1" applyBorder="1" applyAlignment="1">
      <x:alignment horizontal="center" vertical="center"/>
    </x:xf>
    <x:xf numFmtId="49" fontId="63" fillId="23" borderId="84" xfId="0" applyNumberFormat="1" applyFont="1" applyFill="1" applyBorder="1" applyAlignment="1">
      <x:alignment horizontal="center" vertical="center"/>
    </x:xf>
    <x:xf numFmtId="3" fontId="63" fillId="23" borderId="76" xfId="0" applyNumberFormat="1" applyFont="1" applyFill="1" applyBorder="1" applyAlignment="1">
      <x:alignment horizontal="center" vertical="center"/>
    </x:xf>
    <x:xf numFmtId="9" fontId="63" fillId="23" borderId="76" xfId="0" applyNumberFormat="1" applyFont="1" applyFill="1" applyBorder="1" applyAlignment="1">
      <x:alignment horizontal="center" vertical="center"/>
    </x:xf>
    <x:xf numFmtId="49" fontId="64" fillId="23" borderId="84" xfId="0" applyNumberFormat="1" applyFont="1" applyFill="1" applyBorder="1" applyAlignment="1">
      <x:alignment vertical="center"/>
    </x:xf>
    <x:xf numFmtId="0" fontId="63" fillId="23" borderId="76" xfId="0" applyNumberFormat="1" applyFont="1" applyFill="1" applyBorder="1" applyAlignment="1">
      <x:alignment vertical="center" wrapText="1"/>
    </x:xf>
    <x:xf numFmtId="0" fontId="61" fillId="23" borderId="84" xfId="0" applyNumberFormat="1" applyFont="1" applyFill="1" applyBorder="1"/>
    <x:xf numFmtId="49" fontId="63" fillId="23" borderId="84" xfId="0" applyNumberFormat="1" applyFont="1" applyFill="1" applyBorder="1" applyAlignment="1">
      <x:alignment vertical="center"/>
    </x:xf>
    <x:xf numFmtId="49" fontId="60" fillId="23" borderId="84" xfId="0" applyNumberFormat="1" applyFont="1" applyFill="1" applyBorder="1" applyAlignment="1">
      <x:alignment horizontal="left" vertical="center"/>
    </x:xf>
    <x:xf numFmtId="165" fontId="60" fillId="23" borderId="76" xfId="0" applyNumberFormat="1" applyFont="1" applyFill="1" applyBorder="1" applyAlignment="1">
      <x:alignment horizontal="center" vertical="center"/>
    </x:xf>
    <x:xf numFmtId="49" fontId="72" fillId="23" borderId="84" xfId="0" applyNumberFormat="1" applyFont="1" applyFill="1" applyBorder="1" applyAlignment="1">
      <x:alignment wrapText="1"/>
    </x:xf>
    <x:xf numFmtId="0" fontId="64" fillId="23" borderId="84" xfId="0" applyNumberFormat="1" applyFont="1" applyFill="1" applyBorder="1" applyAlignment="1">
      <x:alignment vertical="center"/>
    </x:xf>
    <x:xf numFmtId="49" fontId="63" fillId="23" borderId="84" xfId="0" applyNumberFormat="1" applyFont="1" applyFill="1" applyBorder="1" applyAlignment="1">
      <x:alignment vertical="center" wrapText="1"/>
    </x:xf>
    <x:xf numFmtId="0" fontId="64" fillId="23" borderId="76" xfId="0" applyNumberFormat="1" applyFont="1" applyFill="1" applyBorder="1" applyAlignment="1">
      <x:alignment vertical="center" wrapText="1"/>
    </x:xf>
    <x:xf numFmtId="49" fontId="60" fillId="23" borderId="84" xfId="0" applyNumberFormat="1" applyFont="1" applyFill="1" applyBorder="1" applyAlignment="1">
      <x:alignment vertical="center" wrapText="1"/>
    </x:xf>
    <x:xf numFmtId="0" fontId="63" fillId="23" borderId="76" xfId="0" applyNumberFormat="1" applyFont="1" applyFill="1" applyBorder="1" applyAlignment="1">
      <x:alignment horizontal="center" vertical="center"/>
    </x:xf>
    <x:xf numFmtId="0" fontId="64" fillId="23" borderId="84" xfId="0" applyNumberFormat="1" applyFont="1" applyFill="1" applyBorder="1"/>
    <x:xf numFmtId="0" fontId="60" fillId="23" borderId="76" xfId="0" applyNumberFormat="1" applyFont="1" applyFill="1" applyBorder="1" applyAlignment="1">
      <x:alignment horizontal="center"/>
    </x:xf>
    <x:xf numFmtId="49" fontId="63" fillId="23" borderId="76" xfId="0" applyNumberFormat="1" applyFont="1" applyFill="1" applyBorder="1"/>
    <x:xf numFmtId="0" fontId="60" fillId="23" borderId="90" xfId="0" applyNumberFormat="1" applyFont="1" applyFill="1" applyBorder="1"/>
    <x:xf numFmtId="0" fontId="63" fillId="23" borderId="84" xfId="0" applyNumberFormat="1" applyFont="1" applyFill="1" applyBorder="1" applyAlignment="1">
      <x:alignment vertical="center"/>
    </x:xf>
    <x:xf numFmtId="49" fontId="63" fillId="23" borderId="90" xfId="0" applyNumberFormat="1" applyFont="1" applyFill="1" applyBorder="1" applyAlignment="1">
      <x:alignment horizontal="center" vertical="center" wrapText="1"/>
    </x:xf>
    <x:xf numFmtId="9" fontId="60" fillId="23" borderId="90" xfId="0" applyNumberFormat="1" applyFont="1" applyFill="1" applyBorder="1" applyAlignment="1">
      <x:alignment horizontal="center" vertical="center"/>
    </x:xf>
    <x:xf numFmtId="0" fontId="64" fillId="23" borderId="76" xfId="0" applyNumberFormat="1" applyFont="1" applyFill="1" applyBorder="1" applyAlignment="1">
      <x:alignment vertical="center"/>
    </x:xf>
    <x:xf numFmtId="0" fontId="60" fillId="23" borderId="84" xfId="0" applyNumberFormat="1" applyFont="1" applyFill="1" applyBorder="1" applyAlignment="1">
      <x:alignment horizontal="center"/>
    </x:xf>
    <x:xf numFmtId="165" fontId="60" fillId="23" borderId="76" xfId="0" applyNumberFormat="1" applyFont="1" applyFill="1" applyBorder="1" applyAlignment="1">
      <x:alignment horizontal="center" vertical="center" wrapText="1"/>
    </x:xf>
    <x:xf numFmtId="0" fontId="64" fillId="23" borderId="76" xfId="0" applyNumberFormat="1" applyFont="1" applyFill="1" applyBorder="1"/>
    <x:xf numFmtId="49" fontId="64" fillId="23" borderId="84" xfId="0" applyNumberFormat="1" applyFont="1" applyFill="1" applyBorder="1"/>
    <x:xf numFmtId="49" fontId="64" fillId="23" borderId="91" xfId="0" applyNumberFormat="1" applyFont="1" applyFill="1" applyBorder="1"/>
    <x:xf numFmtId="0" fontId="60" fillId="23" borderId="79" xfId="0" applyNumberFormat="1" applyFont="1" applyFill="1" applyBorder="1"/>
    <x:xf numFmtId="0" fontId="60" fillId="23" borderId="92" xfId="0" applyNumberFormat="1" applyFont="1" applyFill="1" applyBorder="1"/>
    <x:xf numFmtId="49" fontId="63" fillId="23" borderId="81" xfId="0" applyNumberFormat="1" applyFont="1" applyFill="1" applyBorder="1" applyAlignment="1">
      <x:alignment horizontal="left" vertical="center" wrapText="0"/>
    </x:xf>
    <x:xf numFmtId="0" fontId="60" fillId="23" borderId="82" xfId="0" applyNumberFormat="1" applyFont="1" applyFill="1" applyBorder="1" applyAlignment="1">
      <x:alignment horizontal="center" wrapText="0"/>
    </x:xf>
    <x:xf numFmtId="0" fontId="60" fillId="23" borderId="82" xfId="0" applyNumberFormat="1" applyFont="1" applyFill="1" applyBorder="1" applyAlignment="1">
      <x:alignment wrapText="0"/>
    </x:xf>
    <x:xf numFmtId="49" fontId="63" fillId="23" borderId="82" xfId="0" applyNumberFormat="1" applyFont="1" applyFill="1" applyBorder="1" applyAlignment="1">
      <x:alignment wrapText="0"/>
    </x:xf>
    <x:xf numFmtId="0" fontId="61" fillId="23" borderId="82" xfId="0" applyNumberFormat="1" applyFont="1" applyFill="1" applyBorder="1" applyAlignment="1">
      <x:alignment wrapText="0"/>
    </x:xf>
    <x:xf numFmtId="0" fontId="61" fillId="23" borderId="89" xfId="0" applyNumberFormat="1" applyFont="1" applyFill="1" applyBorder="1" applyAlignment="1">
      <x:alignment wrapText="0"/>
    </x:xf>
    <x:xf numFmtId="49" fontId="61" fillId="23" borderId="84" xfId="0" applyNumberFormat="1" applyFont="1" applyFill="1" applyBorder="1" applyAlignment="1">
      <x:alignment wrapText="0"/>
    </x:xf>
    <x:xf numFmtId="0" fontId="60" fillId="23" borderId="76" xfId="0" applyNumberFormat="1" applyFont="1" applyFill="1" applyBorder="1" applyAlignment="1">
      <x:alignment wrapText="0"/>
    </x:xf>
    <x:xf numFmtId="0" fontId="61" fillId="23" borderId="90" xfId="0" applyNumberFormat="1" applyFont="1" applyFill="1" applyBorder="1" applyAlignment="1">
      <x:alignment wrapText="0"/>
    </x:xf>
    <x:xf numFmtId="49" fontId="63" fillId="23" borderId="84" xfId="0" applyNumberFormat="1" applyFont="1" applyFill="1" applyBorder="1" applyAlignment="1">
      <x:alignment horizontal="left" vertical="center" wrapText="0"/>
    </x:xf>
    <x:xf numFmtId="49" fontId="63" fillId="23" borderId="76" xfId="0" applyNumberFormat="1" applyFont="1" applyFill="1" applyBorder="1" applyAlignment="1">
      <x:alignment horizontal="center" vertical="center" wrapText="0"/>
    </x:xf>
    <x:xf numFmtId="0" fontId="63" fillId="23" borderId="76" xfId="0" applyNumberFormat="1" applyFont="1" applyFill="1" applyBorder="1" applyAlignment="1">
      <x:alignment horizontal="center" vertical="center" wrapText="0"/>
    </x:xf>
    <x:xf numFmtId="0" fontId="63" fillId="23" borderId="84" xfId="0" applyNumberFormat="1" applyFont="1" applyFill="1" applyBorder="1" applyAlignment="1">
      <x:alignment horizontal="center" vertical="center" wrapText="0"/>
    </x:xf>
    <x:xf numFmtId="49" fontId="60" fillId="23" borderId="84" xfId="0" applyNumberFormat="1" applyFont="1" applyFill="1" applyBorder="1" applyAlignment="1">
      <x:alignment vertical="center" wrapText="0"/>
    </x:xf>
    <x:xf numFmtId="3" fontId="60" fillId="23" borderId="76" xfId="0" applyNumberFormat="1" applyFont="1" applyFill="1" applyBorder="1" applyAlignment="1">
      <x:alignment horizontal="center" vertical="center" wrapText="0"/>
    </x:xf>
    <x:xf numFmtId="9" fontId="60" fillId="23" borderId="76" xfId="0" applyNumberFormat="1" applyFont="1" applyFill="1" applyBorder="1" applyAlignment="1">
      <x:alignment horizontal="center" vertical="center" wrapText="0"/>
    </x:xf>
    <x:xf numFmtId="0" fontId="60" fillId="23" borderId="76" xfId="0" applyNumberFormat="1" applyFont="1" applyFill="1" applyBorder="1" applyAlignment="1">
      <x:alignment horizontal="center" vertical="center" wrapText="0"/>
    </x:xf>
    <x:xf numFmtId="49" fontId="63" fillId="23" borderId="84" xfId="0" applyNumberFormat="1" applyFont="1" applyFill="1" applyBorder="1" applyAlignment="1">
      <x:alignment horizontal="center" vertical="center" wrapText="0"/>
    </x:xf>
    <x:xf numFmtId="3" fontId="63" fillId="23" borderId="76" xfId="0" applyNumberFormat="1" applyFont="1" applyFill="1" applyBorder="1" applyAlignment="1">
      <x:alignment horizontal="center" vertical="center" wrapText="0"/>
    </x:xf>
    <x:xf numFmtId="9" fontId="63" fillId="23" borderId="76" xfId="0" applyNumberFormat="1" applyFont="1" applyFill="1" applyBorder="1" applyAlignment="1">
      <x:alignment horizontal="center" vertical="center" wrapText="0"/>
    </x:xf>
    <x:xf numFmtId="49" fontId="64" fillId="23" borderId="84" xfId="0" applyNumberFormat="1" applyFont="1" applyFill="1" applyBorder="1" applyAlignment="1">
      <x:alignment vertical="center" wrapText="0"/>
    </x:xf>
    <x:xf numFmtId="0" fontId="63" fillId="23" borderId="76" xfId="0" applyNumberFormat="1" applyFont="1" applyFill="1" applyBorder="1" applyAlignment="1">
      <x:alignment vertical="center" wrapText="0"/>
    </x:xf>
    <x:xf numFmtId="0" fontId="61" fillId="23" borderId="84" xfId="0" applyNumberFormat="1" applyFont="1" applyFill="1" applyBorder="1" applyAlignment="1">
      <x:alignment wrapText="0"/>
    </x:xf>
    <x:xf numFmtId="49" fontId="63" fillId="23" borderId="84" xfId="0" applyNumberFormat="1" applyFont="1" applyFill="1" applyBorder="1" applyAlignment="1">
      <x:alignment vertical="center" wrapText="0"/>
    </x:xf>
    <x:xf numFmtId="49" fontId="60" fillId="23" borderId="84" xfId="0" applyNumberFormat="1" applyFont="1" applyFill="1" applyBorder="1" applyAlignment="1">
      <x:alignment horizontal="left" vertical="center" wrapText="0"/>
    </x:xf>
    <x:xf numFmtId="165" fontId="60" fillId="23" borderId="76" xfId="0" applyNumberFormat="1" applyFont="1" applyFill="1" applyBorder="1" applyAlignment="1">
      <x:alignment horizontal="center" vertical="center" wrapText="0"/>
    </x:xf>
    <x:xf numFmtId="49" fontId="72" fillId="23" borderId="84" xfId="0" applyNumberFormat="1" applyFont="1" applyFill="1" applyBorder="1" applyAlignment="1">
      <x:alignment wrapText="0"/>
    </x:xf>
    <x:xf numFmtId="0" fontId="64" fillId="23" borderId="84" xfId="0" applyNumberFormat="1" applyFont="1" applyFill="1" applyBorder="1" applyAlignment="1">
      <x:alignment vertical="center" wrapText="0"/>
    </x:xf>
    <x:xf numFmtId="0" fontId="64" fillId="23" borderId="76" xfId="0" applyNumberFormat="1" applyFont="1" applyFill="1" applyBorder="1" applyAlignment="1">
      <x:alignment vertical="center" wrapText="0"/>
    </x:xf>
    <x:xf numFmtId="0" fontId="64" fillId="23" borderId="84" xfId="0" applyNumberFormat="1" applyFont="1" applyFill="1" applyBorder="1" applyAlignment="1">
      <x:alignment wrapText="0"/>
    </x:xf>
    <x:xf numFmtId="0" fontId="60" fillId="23" borderId="76" xfId="0" applyNumberFormat="1" applyFont="1" applyFill="1" applyBorder="1" applyAlignment="1">
      <x:alignment horizontal="center" wrapText="0"/>
    </x:xf>
    <x:xf numFmtId="49" fontId="63" fillId="23" borderId="76" xfId="0" applyNumberFormat="1" applyFont="1" applyFill="1" applyBorder="1" applyAlignment="1">
      <x:alignment wrapText="0"/>
    </x:xf>
    <x:xf numFmtId="0" fontId="60" fillId="23" borderId="90" xfId="0" applyNumberFormat="1" applyFont="1" applyFill="1" applyBorder="1" applyAlignment="1">
      <x:alignment wrapText="0"/>
    </x:xf>
    <x:xf numFmtId="0" fontId="63" fillId="23" borderId="84" xfId="0" applyNumberFormat="1" applyFont="1" applyFill="1" applyBorder="1" applyAlignment="1">
      <x:alignment vertical="center" wrapText="0"/>
    </x:xf>
    <x:xf numFmtId="49" fontId="63" fillId="23" borderId="90" xfId="0" applyNumberFormat="1" applyFont="1" applyFill="1" applyBorder="1" applyAlignment="1">
      <x:alignment horizontal="center" vertical="center" wrapText="0"/>
    </x:xf>
    <x:xf numFmtId="9" fontId="60" fillId="23" borderId="90" xfId="0" applyNumberFormat="1" applyFont="1" applyFill="1" applyBorder="1" applyAlignment="1">
      <x:alignment horizontal="center" vertical="center" wrapText="0"/>
    </x:xf>
    <x:xf numFmtId="0" fontId="60" fillId="23" borderId="84" xfId="0" applyNumberFormat="1" applyFont="1" applyFill="1" applyBorder="1" applyAlignment="1">
      <x:alignment horizontal="center" wrapText="0"/>
    </x:xf>
    <x:xf numFmtId="0" fontId="64" fillId="23" borderId="76" xfId="0" applyNumberFormat="1" applyFont="1" applyFill="1" applyBorder="1" applyAlignment="1">
      <x:alignment wrapText="0"/>
    </x:xf>
    <x:xf numFmtId="49" fontId="64" fillId="23" borderId="84" xfId="0" applyNumberFormat="1" applyFont="1" applyFill="1" applyBorder="1" applyAlignment="1">
      <x:alignment wrapText="0"/>
    </x:xf>
    <x:xf numFmtId="49" fontId="64" fillId="23" borderId="91" xfId="0" applyNumberFormat="1" applyFont="1" applyFill="1" applyBorder="1" applyAlignment="1">
      <x:alignment wrapText="0"/>
    </x:xf>
    <x:xf numFmtId="0" fontId="60" fillId="23" borderId="79" xfId="0" applyNumberFormat="1" applyFont="1" applyFill="1" applyBorder="1" applyAlignment="1">
      <x:alignment wrapText="0"/>
    </x:xf>
    <x:xf numFmtId="0" fontId="60" fillId="23" borderId="92" xfId="0" applyNumberFormat="1" applyFont="1" applyFill="1" applyBorder="1" applyAlignment="1">
      <x:alignment wrapText="0"/>
    </x:xf>
    <x:xf numFmtId="49" fontId="63" fillId="23" borderId="81" xfId="0" applyNumberFormat="1" applyFont="1" applyFill="1" applyBorder="1" applyAlignment="1">
      <x:alignment horizontal="left" vertical="top" wrapText="0"/>
    </x:xf>
    <x:xf numFmtId="0" fontId="60" fillId="23" borderId="82" xfId="0" applyNumberFormat="1" applyFont="1" applyFill="1" applyBorder="1" applyAlignment="1">
      <x:alignment horizontal="center" vertical="top" wrapText="0"/>
    </x:xf>
    <x:xf numFmtId="0" fontId="60" fillId="23" borderId="82" xfId="0" applyNumberFormat="1" applyFont="1" applyFill="1" applyBorder="1" applyAlignment="1">
      <x:alignment vertical="top" wrapText="0"/>
    </x:xf>
    <x:xf numFmtId="49" fontId="63" fillId="23" borderId="82" xfId="0" applyNumberFormat="1" applyFont="1" applyFill="1" applyBorder="1" applyAlignment="1">
      <x:alignment vertical="top" wrapText="0"/>
    </x:xf>
    <x:xf numFmtId="0" fontId="61" fillId="23" borderId="82" xfId="0" applyNumberFormat="1" applyFont="1" applyFill="1" applyBorder="1" applyAlignment="1">
      <x:alignment vertical="top" wrapText="0"/>
    </x:xf>
    <x:xf numFmtId="0" fontId="61" fillId="23" borderId="89" xfId="0" applyNumberFormat="1" applyFont="1" applyFill="1" applyBorder="1" applyAlignment="1">
      <x:alignment vertical="top" wrapText="0"/>
    </x:xf>
    <x:xf numFmtId="49" fontId="61" fillId="23" borderId="84" xfId="0" applyNumberFormat="1" applyFont="1" applyFill="1" applyBorder="1" applyAlignment="1">
      <x:alignment vertical="top" wrapText="0"/>
    </x:xf>
    <x:xf numFmtId="0" fontId="60" fillId="23" borderId="76" xfId="0" applyNumberFormat="1" applyFont="1" applyFill="1" applyBorder="1" applyAlignment="1">
      <x:alignment vertical="top" wrapText="0"/>
    </x:xf>
    <x:xf numFmtId="0" fontId="61" fillId="23" borderId="90" xfId="0" applyNumberFormat="1" applyFont="1" applyFill="1" applyBorder="1" applyAlignment="1">
      <x:alignment vertical="top" wrapText="0"/>
    </x:xf>
    <x:xf numFmtId="49" fontId="63" fillId="23" borderId="84" xfId="0" applyNumberFormat="1" applyFont="1" applyFill="1" applyBorder="1" applyAlignment="1">
      <x:alignment horizontal="left" vertical="top" wrapText="0"/>
    </x:xf>
    <x:xf numFmtId="49" fontId="63" fillId="23" borderId="76" xfId="0" applyNumberFormat="1" applyFont="1" applyFill="1" applyBorder="1" applyAlignment="1">
      <x:alignment horizontal="center" vertical="top" wrapText="0"/>
    </x:xf>
    <x:xf numFmtId="0" fontId="63" fillId="23" borderId="76" xfId="0" applyNumberFormat="1" applyFont="1" applyFill="1" applyBorder="1" applyAlignment="1">
      <x:alignment horizontal="center" vertical="top" wrapText="0"/>
    </x:xf>
    <x:xf numFmtId="0" fontId="63" fillId="23" borderId="84" xfId="0" applyNumberFormat="1" applyFont="1" applyFill="1" applyBorder="1" applyAlignment="1">
      <x:alignment horizontal="center" vertical="top" wrapText="0"/>
    </x:xf>
    <x:xf numFmtId="49" fontId="60" fillId="23" borderId="84" xfId="0" applyNumberFormat="1" applyFont="1" applyFill="1" applyBorder="1" applyAlignment="1">
      <x:alignment vertical="top" wrapText="0"/>
    </x:xf>
    <x:xf numFmtId="3" fontId="60" fillId="23" borderId="76" xfId="0" applyNumberFormat="1" applyFont="1" applyFill="1" applyBorder="1" applyAlignment="1">
      <x:alignment horizontal="center" vertical="top" wrapText="0"/>
    </x:xf>
    <x:xf numFmtId="9" fontId="60" fillId="23" borderId="76" xfId="0" applyNumberFormat="1" applyFont="1" applyFill="1" applyBorder="1" applyAlignment="1">
      <x:alignment horizontal="center" vertical="top" wrapText="0"/>
    </x:xf>
    <x:xf numFmtId="0" fontId="60" fillId="23" borderId="76" xfId="0" applyNumberFormat="1" applyFont="1" applyFill="1" applyBorder="1" applyAlignment="1">
      <x:alignment horizontal="center" vertical="top" wrapText="0"/>
    </x:xf>
    <x:xf numFmtId="49" fontId="63" fillId="23" borderId="84" xfId="0" applyNumberFormat="1" applyFont="1" applyFill="1" applyBorder="1" applyAlignment="1">
      <x:alignment horizontal="center" vertical="top" wrapText="0"/>
    </x:xf>
    <x:xf numFmtId="3" fontId="63" fillId="23" borderId="76" xfId="0" applyNumberFormat="1" applyFont="1" applyFill="1" applyBorder="1" applyAlignment="1">
      <x:alignment horizontal="center" vertical="top" wrapText="0"/>
    </x:xf>
    <x:xf numFmtId="9" fontId="63" fillId="23" borderId="76" xfId="0" applyNumberFormat="1" applyFont="1" applyFill="1" applyBorder="1" applyAlignment="1">
      <x:alignment horizontal="center" vertical="top" wrapText="0"/>
    </x:xf>
    <x:xf numFmtId="49" fontId="64" fillId="23" borderId="84" xfId="0" applyNumberFormat="1" applyFont="1" applyFill="1" applyBorder="1" applyAlignment="1">
      <x:alignment vertical="top" wrapText="0"/>
    </x:xf>
    <x:xf numFmtId="0" fontId="63" fillId="23" borderId="76" xfId="0" applyNumberFormat="1" applyFont="1" applyFill="1" applyBorder="1" applyAlignment="1">
      <x:alignment vertical="top" wrapText="0"/>
    </x:xf>
    <x:xf numFmtId="0" fontId="61" fillId="23" borderId="84" xfId="0" applyNumberFormat="1" applyFont="1" applyFill="1" applyBorder="1" applyAlignment="1">
      <x:alignment vertical="top" wrapText="0"/>
    </x:xf>
    <x:xf numFmtId="49" fontId="63" fillId="23" borderId="84" xfId="0" applyNumberFormat="1" applyFont="1" applyFill="1" applyBorder="1" applyAlignment="1">
      <x:alignment vertical="top" wrapText="0"/>
    </x:xf>
    <x:xf numFmtId="49" fontId="60" fillId="23" borderId="84" xfId="0" applyNumberFormat="1" applyFont="1" applyFill="1" applyBorder="1" applyAlignment="1">
      <x:alignment horizontal="left" vertical="top" wrapText="0"/>
    </x:xf>
    <x:xf numFmtId="165" fontId="60" fillId="23" borderId="76" xfId="0" applyNumberFormat="1" applyFont="1" applyFill="1" applyBorder="1" applyAlignment="1">
      <x:alignment horizontal="center" vertical="top" wrapText="0"/>
    </x:xf>
    <x:xf numFmtId="49" fontId="72" fillId="23" borderId="84" xfId="0" applyNumberFormat="1" applyFont="1" applyFill="1" applyBorder="1" applyAlignment="1">
      <x:alignment vertical="top" wrapText="0"/>
    </x:xf>
    <x:xf numFmtId="0" fontId="64" fillId="23" borderId="84" xfId="0" applyNumberFormat="1" applyFont="1" applyFill="1" applyBorder="1" applyAlignment="1">
      <x:alignment vertical="top" wrapText="0"/>
    </x:xf>
    <x:xf numFmtId="0" fontId="64" fillId="23" borderId="76" xfId="0" applyNumberFormat="1" applyFont="1" applyFill="1" applyBorder="1" applyAlignment="1">
      <x:alignment vertical="top" wrapText="0"/>
    </x:xf>
    <x:xf numFmtId="49" fontId="63" fillId="23" borderId="76" xfId="0" applyNumberFormat="1" applyFont="1" applyFill="1" applyBorder="1" applyAlignment="1">
      <x:alignment vertical="top" wrapText="0"/>
    </x:xf>
    <x:xf numFmtId="0" fontId="60" fillId="23" borderId="90" xfId="0" applyNumberFormat="1" applyFont="1" applyFill="1" applyBorder="1" applyAlignment="1">
      <x:alignment vertical="top" wrapText="0"/>
    </x:xf>
    <x:xf numFmtId="0" fontId="63" fillId="23" borderId="84" xfId="0" applyNumberFormat="1" applyFont="1" applyFill="1" applyBorder="1" applyAlignment="1">
      <x:alignment vertical="top" wrapText="0"/>
    </x:xf>
    <x:xf numFmtId="49" fontId="63" fillId="23" borderId="90" xfId="0" applyNumberFormat="1" applyFont="1" applyFill="1" applyBorder="1" applyAlignment="1">
      <x:alignment horizontal="center" vertical="top" wrapText="0"/>
    </x:xf>
    <x:xf numFmtId="9" fontId="60" fillId="23" borderId="90" xfId="0" applyNumberFormat="1" applyFont="1" applyFill="1" applyBorder="1" applyAlignment="1">
      <x:alignment horizontal="center" vertical="top" wrapText="0"/>
    </x:xf>
    <x:xf numFmtId="0" fontId="60" fillId="23" borderId="84" xfId="0" applyNumberFormat="1" applyFont="1" applyFill="1" applyBorder="1" applyAlignment="1">
      <x:alignment horizontal="center" vertical="top" wrapText="0"/>
    </x:xf>
    <x:xf numFmtId="49" fontId="64" fillId="23" borderId="91" xfId="0" applyNumberFormat="1" applyFont="1" applyFill="1" applyBorder="1" applyAlignment="1">
      <x:alignment vertical="top" wrapText="0"/>
    </x:xf>
    <x:xf numFmtId="0" fontId="60" fillId="23" borderId="79" xfId="0" applyNumberFormat="1" applyFont="1" applyFill="1" applyBorder="1" applyAlignment="1">
      <x:alignment vertical="top" wrapText="0"/>
    </x:xf>
    <x:xf numFmtId="0" fontId="60" fillId="23" borderId="92" xfId="0" applyNumberFormat="1" applyFont="1" applyFill="1" applyBorder="1" applyAlignment="1">
      <x:alignment vertical="top" wrapText="0"/>
    </x:xf>
    <x:xf numFmtId="49" fontId="63" fillId="24" borderId="81" xfId="0" applyNumberFormat="1" applyFont="1" applyFill="1" applyBorder="1" applyAlignment="1">
      <x:alignment horizontal="left" vertical="top" wrapText="0"/>
    </x:xf>
    <x:xf numFmtId="0" fontId="60" fillId="24" borderId="82" xfId="0" applyNumberFormat="1" applyFont="1" applyFill="1" applyBorder="1" applyAlignment="1">
      <x:alignment horizontal="center" vertical="top" wrapText="0"/>
    </x:xf>
    <x:xf numFmtId="0" fontId="60" fillId="24" borderId="82" xfId="0" applyNumberFormat="1" applyFont="1" applyFill="1" applyBorder="1" applyAlignment="1">
      <x:alignment vertical="top" wrapText="0"/>
    </x:xf>
    <x:xf numFmtId="49" fontId="63" fillId="24" borderId="82" xfId="0" applyNumberFormat="1" applyFont="1" applyFill="1" applyBorder="1" applyAlignment="1">
      <x:alignment vertical="top" wrapText="0"/>
    </x:xf>
    <x:xf numFmtId="0" fontId="61" fillId="24" borderId="82" xfId="0" applyNumberFormat="1" applyFont="1" applyFill="1" applyBorder="1" applyAlignment="1">
      <x:alignment vertical="top" wrapText="0"/>
    </x:xf>
    <x:xf numFmtId="0" fontId="61" fillId="24" borderId="89" xfId="0" applyNumberFormat="1" applyFont="1" applyFill="1" applyBorder="1" applyAlignment="1">
      <x:alignment vertical="top" wrapText="0"/>
    </x:xf>
    <x:xf numFmtId="49" fontId="73" fillId="24" borderId="81" xfId="0" applyNumberFormat="1" applyFont="1" applyFill="1" applyBorder="1" applyAlignment="1">
      <x:alignment horizontal="left" vertical="top" wrapText="0"/>
    </x:xf>
    <x:xf numFmtId="0" fontId="73" fillId="24" borderId="82" xfId="0" applyNumberFormat="1" applyFont="1" applyFill="1" applyBorder="1" applyAlignment="1">
      <x:alignment horizontal="center" vertical="top" wrapText="0"/>
    </x:xf>
    <x:xf numFmtId="0" fontId="73" fillId="24" borderId="82" xfId="0" applyNumberFormat="1" applyFont="1" applyFill="1" applyBorder="1" applyAlignment="1">
      <x:alignment vertical="top" wrapText="0"/>
    </x:xf>
    <x:xf numFmtId="49" fontId="73" fillId="24" borderId="82" xfId="0" applyNumberFormat="1" applyFont="1" applyFill="1" applyBorder="1" applyAlignment="1">
      <x:alignment vertical="top" wrapText="0"/>
    </x:xf>
    <x:xf numFmtId="0" fontId="66" fillId="24" borderId="82" xfId="0" applyNumberFormat="1" applyFont="1" applyFill="1" applyBorder="1" applyAlignment="1">
      <x:alignment vertical="top" wrapText="0"/>
    </x:xf>
    <x:xf numFmtId="0" fontId="66" fillId="24" borderId="89" xfId="0" applyNumberFormat="1" applyFont="1" applyFill="1" applyBorder="1" applyAlignment="1">
      <x:alignment vertical="top" wrapText="0"/>
    </x:xf>
    <x:xf numFmtId="49" fontId="73" fillId="24" borderId="81" xfId="0" applyNumberFormat="1" applyFont="1" applyFill="1" applyBorder="1" applyAlignment="1">
      <x:alignment horizontal="left" vertical="center" wrapText="0"/>
    </x:xf>
    <x:xf numFmtId="0" fontId="73" fillId="24" borderId="82" xfId="0" applyNumberFormat="1" applyFont="1" applyFill="1" applyBorder="1" applyAlignment="1">
      <x:alignment horizontal="center" vertical="center" wrapText="0"/>
    </x:xf>
    <x:xf numFmtId="0" fontId="73" fillId="24" borderId="82" xfId="0" applyNumberFormat="1" applyFont="1" applyFill="1" applyBorder="1" applyAlignment="1">
      <x:alignment vertical="center" wrapText="0"/>
    </x:xf>
    <x:xf numFmtId="49" fontId="73" fillId="24" borderId="82" xfId="0" applyNumberFormat="1" applyFont="1" applyFill="1" applyBorder="1" applyAlignment="1">
      <x:alignment vertical="center" wrapText="0"/>
    </x:xf>
    <x:xf numFmtId="0" fontId="66" fillId="24" borderId="82" xfId="0" applyNumberFormat="1" applyFont="1" applyFill="1" applyBorder="1" applyAlignment="1">
      <x:alignment vertical="center" wrapText="0"/>
    </x:xf>
    <x:xf numFmtId="0" fontId="66" fillId="24" borderId="89" xfId="0" applyNumberFormat="1" applyFont="1" applyFill="1" applyBorder="1" applyAlignment="1">
      <x:alignment vertical="center" wrapText="0"/>
    </x:xf>
    <x:xf numFmtId="49" fontId="61" fillId="25" borderId="84" xfId="0" applyNumberFormat="1" applyFont="1" applyFill="1" applyBorder="1" applyAlignment="1">
      <x:alignment vertical="top" wrapText="0"/>
    </x:xf>
    <x:xf numFmtId="0" fontId="60" fillId="25" borderId="76" xfId="0" applyNumberFormat="1" applyFont="1" applyFill="1" applyBorder="1" applyAlignment="1">
      <x:alignment vertical="top" wrapText="0"/>
    </x:xf>
    <x:xf numFmtId="0" fontId="61" fillId="25" borderId="90" xfId="0" applyNumberFormat="1" applyFont="1" applyFill="1" applyBorder="1" applyAlignment="1">
      <x:alignment vertical="top" wrapText="0"/>
    </x:xf>
    <x:xf numFmtId="49" fontId="68" fillId="25" borderId="84" xfId="0" applyNumberFormat="1" applyFont="1" applyFill="1" applyBorder="1" applyAlignment="1">
      <x:alignment vertical="top" wrapText="0"/>
    </x:xf>
    <x:xf numFmtId="0" fontId="70" fillId="25" borderId="76" xfId="0" applyNumberFormat="1" applyFont="1" applyFill="1" applyBorder="1" applyAlignment="1">
      <x:alignment vertical="top" wrapText="0"/>
    </x:xf>
    <x:xf numFmtId="0" fontId="68" fillId="25" borderId="90" xfId="0" applyNumberFormat="1" applyFont="1" applyFill="1" applyBorder="1" applyAlignment="1">
      <x:alignment vertical="top" wrapText="0"/>
    </x:xf>
    <x:xf numFmtId="0" fontId="70" fillId="25" borderId="76" xfId="0" applyNumberFormat="1" applyFont="1" applyFill="1" applyBorder="1" applyAlignment="1">
      <x:alignment vertical="top" wrapText="1"/>
    </x:xf>
    <x:xf numFmtId="0" fontId="70" fillId="25" borderId="76" xfId="0" applyNumberFormat="1" applyFont="1" applyFill="1" applyBorder="1" applyAlignment="1">
      <x:alignment vertical="center" wrapText="1"/>
    </x:xf>
    <x:xf numFmtId="49" fontId="63" fillId="31" borderId="84" xfId="0" applyNumberFormat="1" applyFont="1" applyFill="1" applyBorder="1" applyAlignment="1">
      <x:alignment horizontal="center" vertical="top" wrapText="0"/>
    </x:xf>
    <x:xf numFmtId="3" fontId="63" fillId="31" borderId="76" xfId="0" applyNumberFormat="1" applyFont="1" applyFill="1" applyBorder="1" applyAlignment="1">
      <x:alignment horizontal="center" vertical="top" wrapText="0"/>
    </x:xf>
    <x:xf numFmtId="0" fontId="60" fillId="31" borderId="76" xfId="0" applyNumberFormat="1" applyFont="1" applyFill="1" applyBorder="1" applyAlignment="1">
      <x:alignment vertical="top" wrapText="0"/>
    </x:xf>
    <x:xf numFmtId="9" fontId="63" fillId="31" borderId="76" xfId="0" applyNumberFormat="1" applyFont="1" applyFill="1" applyBorder="1" applyAlignment="1">
      <x:alignment horizontal="center" vertical="top" wrapText="0"/>
    </x:xf>
    <x:xf numFmtId="0" fontId="61" fillId="31" borderId="76" xfId="0" applyNumberFormat="1" applyFont="1" applyFill="1" applyBorder="1" applyAlignment="1">
      <x:alignment vertical="top" wrapText="0"/>
    </x:xf>
    <x:xf numFmtId="0" fontId="61" fillId="31" borderId="90" xfId="0" applyNumberFormat="1" applyFont="1" applyFill="1" applyBorder="1" applyAlignment="1">
      <x:alignment vertical="top" wrapText="0"/>
    </x:xf>
    <x:xf numFmtId="49" fontId="70" fillId="31" borderId="84" xfId="0" applyNumberFormat="1" applyFont="1" applyFill="1" applyBorder="1" applyAlignment="1">
      <x:alignment horizontal="center" vertical="top" wrapText="0"/>
    </x:xf>
    <x:xf numFmtId="3" fontId="70" fillId="31" borderId="76" xfId="0" applyNumberFormat="1" applyFont="1" applyFill="1" applyBorder="1" applyAlignment="1">
      <x:alignment horizontal="center" vertical="top" wrapText="0"/>
    </x:xf>
    <x:xf numFmtId="0" fontId="70" fillId="31" borderId="76" xfId="0" applyNumberFormat="1" applyFont="1" applyFill="1" applyBorder="1" applyAlignment="1">
      <x:alignment vertical="top" wrapText="0"/>
    </x:xf>
    <x:xf numFmtId="9" fontId="70" fillId="31" borderId="76" xfId="0" applyNumberFormat="1" applyFont="1" applyFill="1" applyBorder="1" applyAlignment="1">
      <x:alignment horizontal="center" vertical="top" wrapText="0"/>
    </x:xf>
    <x:xf numFmtId="0" fontId="68" fillId="31" borderId="76" xfId="0" applyNumberFormat="1" applyFont="1" applyFill="1" applyBorder="1" applyAlignment="1">
      <x:alignment vertical="top" wrapText="0"/>
    </x:xf>
    <x:xf numFmtId="0" fontId="68" fillId="31" borderId="90" xfId="0" applyNumberFormat="1" applyFont="1" applyFill="1" applyBorder="1" applyAlignment="1">
      <x:alignment vertical="top" wrapText="0"/>
    </x:xf>
    <x:xf numFmtId="49" fontId="70" fillId="31" borderId="76" xfId="0" applyNumberFormat="1" applyFont="1" applyFill="1" applyBorder="1" applyAlignment="1">
      <x:alignment horizontal="center" vertical="top" wrapText="0"/>
    </x:xf>
    <x:xf numFmtId="49" fontId="64" fillId="25" borderId="84" xfId="0" applyNumberFormat="1" applyFont="1" applyFill="1" applyBorder="1" applyAlignment="1">
      <x:alignment vertical="top" wrapText="0"/>
    </x:xf>
    <x:xf numFmtId="0" fontId="63" fillId="25" borderId="76" xfId="0" applyNumberFormat="1" applyFont="1" applyFill="1" applyBorder="1" applyAlignment="1">
      <x:alignment vertical="top" wrapText="0"/>
    </x:xf>
    <x:xf numFmtId="49" fontId="71" fillId="25" borderId="84" xfId="0" applyNumberFormat="1" applyFont="1" applyFill="1" applyBorder="1" applyAlignment="1">
      <x:alignment vertical="top" wrapText="0"/>
    </x:xf>
    <x:xf numFmtId="49" fontId="63" fillId="25" borderId="84" xfId="0" applyNumberFormat="1" applyFont="1" applyFill="1" applyBorder="1" applyAlignment="1">
      <x:alignment vertical="top" wrapText="0"/>
    </x:xf>
    <x:xf numFmtId="49" fontId="63" fillId="25" borderId="76" xfId="0" applyNumberFormat="1" applyFont="1" applyFill="1" applyBorder="1" applyAlignment="1">
      <x:alignment horizontal="center" vertical="top" wrapText="0"/>
    </x:xf>
    <x:xf numFmtId="49" fontId="70" fillId="25" borderId="84" xfId="0" applyNumberFormat="1" applyFont="1" applyFill="1" applyBorder="1" applyAlignment="1">
      <x:alignment vertical="top" wrapText="0"/>
    </x:xf>
    <x:xf numFmtId="49" fontId="70" fillId="25" borderId="76" xfId="0" applyNumberFormat="1" applyFont="1" applyFill="1" applyBorder="1" applyAlignment="1">
      <x:alignment vertical="top" wrapText="0"/>
    </x:xf>
    <x:xf numFmtId="49" fontId="70" fillId="25" borderId="76" xfId="0" applyNumberFormat="1" applyFont="1" applyFill="1" applyBorder="1" applyAlignment="1">
      <x:alignment vertical="top" wrapText="1"/>
    </x:xf>
    <x:xf numFmtId="49" fontId="70" fillId="25" borderId="76" xfId="0" applyNumberFormat="1" applyFont="1" applyFill="1" applyBorder="1" applyAlignment="1">
      <x:alignment vertical="center" wrapText="1"/>
    </x:xf>
    <x:xf numFmtId="0" fontId="63" fillId="31" borderId="76" xfId="0" applyNumberFormat="1" applyFont="1" applyFill="1" applyBorder="1" applyAlignment="1">
      <x:alignment horizontal="center" vertical="top" wrapText="0"/>
    </x:xf>
    <x:xf numFmtId="0" fontId="70" fillId="31" borderId="76" xfId="0" applyNumberFormat="1" applyFont="1" applyFill="1" applyBorder="1" applyAlignment="1">
      <x:alignment horizontal="center" vertical="top" wrapText="0"/>
    </x:xf>
    <x:xf numFmtId="0" fontId="63" fillId="25" borderId="84" xfId="0" applyNumberFormat="1" applyFont="1" applyFill="1" applyBorder="1" applyAlignment="1">
      <x:alignment horizontal="center" vertical="top" wrapText="0"/>
    </x:xf>
    <x:xf numFmtId="49" fontId="63" fillId="25" borderId="90" xfId="0" applyNumberFormat="1" applyFont="1" applyFill="1" applyBorder="1" applyAlignment="1">
      <x:alignment horizontal="center" vertical="top" wrapText="0"/>
    </x:xf>
    <x:xf numFmtId="0" fontId="70" fillId="25" borderId="84" xfId="0" applyNumberFormat="1" applyFont="1" applyFill="1" applyBorder="1" applyAlignment="1">
      <x:alignment horizontal="center" vertical="top" wrapText="0"/>
    </x:xf>
    <x:xf numFmtId="49" fontId="70" fillId="25" borderId="90" xfId="0" applyNumberFormat="1" applyFont="1" applyFill="1" applyBorder="1" applyAlignment="1">
      <x:alignment horizontal="center" vertical="top" wrapText="0"/>
    </x:xf>
    <x:xf numFmtId="49" fontId="60" fillId="25" borderId="84" xfId="0" applyNumberFormat="1" applyFont="1" applyFill="1" applyBorder="1" applyAlignment="1">
      <x:alignment vertical="top" wrapText="0"/>
    </x:xf>
    <x:xf numFmtId="3" fontId="60" fillId="25" borderId="76" xfId="0" applyNumberFormat="1" applyFont="1" applyFill="1" applyBorder="1" applyAlignment="1">
      <x:alignment horizontal="center" vertical="top" wrapText="0"/>
    </x:xf>
    <x:xf numFmtId="9" fontId="60" fillId="25" borderId="76" xfId="0" applyNumberFormat="1" applyFont="1" applyFill="1" applyBorder="1" applyAlignment="1">
      <x:alignment horizontal="center" vertical="top" wrapText="0"/>
    </x:xf>
    <x:xf numFmtId="9" fontId="60" fillId="25" borderId="90" xfId="0" applyNumberFormat="1" applyFont="1" applyFill="1" applyBorder="1" applyAlignment="1">
      <x:alignment horizontal="center" vertical="top" wrapText="0"/>
    </x:xf>
    <x:xf numFmtId="3" fontId="70" fillId="25" borderId="76" xfId="0" applyNumberFormat="1" applyFont="1" applyFill="1" applyBorder="1" applyAlignment="1">
      <x:alignment horizontal="center" vertical="top" wrapText="0"/>
    </x:xf>
    <x:xf numFmtId="9" fontId="70" fillId="25" borderId="76" xfId="0" applyNumberFormat="1" applyFont="1" applyFill="1" applyBorder="1" applyAlignment="1">
      <x:alignment horizontal="center" vertical="top" wrapText="0"/>
    </x:xf>
    <x:xf numFmtId="9" fontId="70" fillId="25" borderId="90" xfId="0" applyNumberFormat="1" applyFont="1" applyFill="1" applyBorder="1" applyAlignment="1">
      <x:alignment horizontal="center" vertical="top" wrapText="0"/>
    </x:xf>
    <x:xf numFmtId="3" fontId="70" fillId="25" borderId="76" xfId="0" applyNumberFormat="1" applyFont="1" applyFill="1" applyBorder="1" applyAlignment="1">
      <x:alignment horizontal="center" vertical="top" wrapText="1"/>
    </x:xf>
    <x:xf numFmtId="9" fontId="70" fillId="25" borderId="76" xfId="0" applyNumberFormat="1" applyFont="1" applyFill="1" applyBorder="1" applyAlignment="1">
      <x:alignment horizontal="center" vertical="top" wrapText="1"/>
    </x:xf>
    <x:xf numFmtId="3" fontId="70" fillId="25" borderId="76" xfId="0" applyNumberFormat="1" applyFont="1" applyFill="1" applyBorder="1" applyAlignment="1">
      <x:alignment horizontal="center" vertical="center" wrapText="1"/>
    </x:xf>
    <x:xf numFmtId="9" fontId="70" fillId="25" borderId="76" xfId="0" applyNumberFormat="1" applyFont="1" applyFill="1" applyBorder="1" applyAlignment="1">
      <x:alignment horizontal="center" vertical="center" wrapText="1"/>
    </x:xf>
    <x:xf numFmtId="0" fontId="60" fillId="25" borderId="76" xfId="0" applyNumberFormat="1" applyFont="1" applyFill="1" applyBorder="1" applyAlignment="1">
      <x:alignment horizontal="center" vertical="top" wrapText="0"/>
    </x:xf>
    <x:xf numFmtId="49" fontId="63" fillId="25" borderId="84" xfId="0" applyNumberFormat="1" applyFont="1" applyFill="1" applyBorder="1" applyAlignment="1">
      <x:alignment horizontal="center" vertical="top" wrapText="0"/>
    </x:xf>
    <x:xf numFmtId="3" fontId="63" fillId="25" borderId="76" xfId="0" applyNumberFormat="1" applyFont="1" applyFill="1" applyBorder="1" applyAlignment="1">
      <x:alignment horizontal="center" vertical="top" wrapText="0"/>
    </x:xf>
    <x:xf numFmtId="49" fontId="70" fillId="25" borderId="84" xfId="0" applyNumberFormat="1" applyFont="1" applyFill="1" applyBorder="1" applyAlignment="1">
      <x:alignment horizontal="center" vertical="top" wrapText="0"/>
    </x:xf>
    <x:xf numFmtId="0" fontId="60" fillId="25" borderId="90" xfId="0" applyNumberFormat="1" applyFont="1" applyFill="1" applyBorder="1" applyAlignment="1">
      <x:alignment vertical="top" wrapText="0"/>
    </x:xf>
    <x:xf numFmtId="0" fontId="70" fillId="25" borderId="90" xfId="0" applyNumberFormat="1" applyFont="1" applyFill="1" applyBorder="1" applyAlignment="1">
      <x:alignment vertical="top" wrapText="0"/>
    </x:xf>
    <x:xf numFmtId="0" fontId="64" fillId="25" borderId="76" xfId="0" applyNumberFormat="1" applyFont="1" applyFill="1" applyBorder="1" applyAlignment="1">
      <x:alignment vertical="top" wrapText="0"/>
    </x:xf>
    <x:xf numFmtId="0" fontId="71" fillId="25" borderId="76" xfId="0" applyNumberFormat="1" applyFont="1" applyFill="1" applyBorder="1" applyAlignment="1">
      <x:alignment vertical="top" wrapText="0"/>
    </x:xf>
    <x:xf numFmtId="0" fontId="71" fillId="25" borderId="76" xfId="0" applyNumberFormat="1" applyFont="1" applyFill="1" applyBorder="1" applyAlignment="1">
      <x:alignment vertical="top" wrapText="1"/>
    </x:xf>
    <x:xf numFmtId="0" fontId="71" fillId="25" borderId="76" xfId="0" applyNumberFormat="1" applyFont="1" applyFill="1" applyBorder="1" applyAlignment="1">
      <x:alignment vertical="center" wrapText="1"/>
    </x:xf>
    <x:xf numFmtId="49" fontId="64" fillId="25" borderId="91" xfId="0" applyNumberFormat="1" applyFont="1" applyFill="1" applyBorder="1" applyAlignment="1">
      <x:alignment vertical="top" wrapText="0"/>
    </x:xf>
    <x:xf numFmtId="0" fontId="60" fillId="25" borderId="79" xfId="0" applyNumberFormat="1" applyFont="1" applyFill="1" applyBorder="1" applyAlignment="1">
      <x:alignment vertical="top" wrapText="0"/>
    </x:xf>
    <x:xf numFmtId="0" fontId="60" fillId="25" borderId="92" xfId="0" applyNumberFormat="1" applyFont="1" applyFill="1" applyBorder="1" applyAlignment="1">
      <x:alignment vertical="top" wrapText="0"/>
    </x:xf>
    <x:xf numFmtId="49" fontId="71" fillId="25" borderId="91" xfId="0" applyNumberFormat="1" applyFont="1" applyFill="1" applyBorder="1" applyAlignment="1">
      <x:alignment vertical="top" wrapText="0"/>
    </x:xf>
    <x:xf numFmtId="0" fontId="70" fillId="25" borderId="79" xfId="0" applyNumberFormat="1" applyFont="1" applyFill="1" applyBorder="1" applyAlignment="1">
      <x:alignment vertical="top" wrapText="0"/>
    </x:xf>
    <x:xf numFmtId="0" fontId="70" fillId="25" borderId="92" xfId="0" applyNumberFormat="1" applyFont="1" applyFill="1" applyBorder="1" applyAlignment="1">
      <x:alignment vertical="top" wrapText="0"/>
    </x:xf>
    <x:xf numFmtId="3" fontId="12" fillId="23" borderId="3" xfId="0" applyNumberFormat="1" applyFont="1" applyFill="1" applyBorder="1" applyAlignment="1">
      <x:alignment horizontal="center" vertical="center" wrapText="1"/>
    </x:xf>
    <x:xf numFmtId="9" fontId="27" fillId="23" borderId="4" xfId="0" applyNumberFormat="1" applyFont="1" applyFill="1" applyBorder="1"/>
    <x:xf numFmtId="166" fontId="12" fillId="23" borderId="3" xfId="0" applyNumberFormat="1" applyFont="1" applyFill="1" applyBorder="1" applyAlignment="1">
      <x:alignment horizontal="center" vertical="center" wrapText="1"/>
    </x:xf>
    <x:xf numFmtId="166" fontId="14" fillId="23" borderId="3" xfId="0" applyNumberFormat="1" applyFont="1" applyFill="1" applyBorder="1" applyAlignment="1">
      <x:alignment horizontal="center" vertical="center" wrapText="1"/>
    </x:xf>
    <x:xf numFmtId="0" fontId="29" fillId="23" borderId="4" xfId="0" applyNumberFormat="1" applyFont="1" applyFill="1" applyBorder="1" applyAlignment="1">
      <x:alignment vertical="top" wrapText="1"/>
    </x:xf>
    <x:xf numFmtId="49" fontId="17" fillId="23" borderId="2" xfId="0" applyNumberFormat="1" applyFont="1" applyFill="1" applyBorder="1" applyAlignment="1">
      <x:alignment vertical="center"/>
    </x:xf>
    <x:xf numFmtId="0" fontId="30" fillId="23" borderId="4" xfId="0" applyNumberFormat="1" applyFont="1" applyFill="1" applyBorder="1"/>
    <x:xf numFmtId="0" fontId="12" fillId="23" borderId="49" xfId="0" applyNumberFormat="1" applyFont="1" applyFill="1" applyBorder="1"/>
    <x:xf numFmtId="0" fontId="27" fillId="23" borderId="2" xfId="0" applyNumberFormat="1" applyFont="1" applyFill="1" applyBorder="1"/>
    <x:xf numFmtId="165" fontId="14" fillId="23" borderId="3" xfId="0" applyNumberFormat="1" applyFont="1" applyFill="1" applyBorder="1" applyAlignment="1">
      <x:alignment horizontal="center" vertical="center" wrapText="1"/>
    </x:xf>
    <x:xf numFmtId="9" fontId="12" fillId="23" borderId="4" xfId="0" applyNumberFormat="1" applyFont="1" applyFill="1" applyBorder="1"/>
    <x:xf numFmtId="2" fontId="27" fillId="23" borderId="2" xfId="0" applyNumberFormat="1" applyFont="1" applyFill="1" applyBorder="1"/>
    <x:xf numFmtId="0" fontId="12" fillId="23" borderId="3" xfId="0" applyNumberFormat="1" applyFont="1" applyFill="1" applyBorder="1" applyAlignment="1">
      <x:alignment horizontal="center" vertical="center" wrapText="1"/>
    </x:xf>
    <x:xf numFmtId="3" fontId="14" fillId="23" borderId="3" xfId="0" applyNumberFormat="1" applyFont="1" applyFill="1" applyBorder="1" applyAlignment="1">
      <x:alignment horizontal="center" vertical="center" wrapText="1"/>
    </x:xf>
    <x:xf numFmtId="0" fontId="16" fillId="23" borderId="2" xfId="0" applyNumberFormat="1" applyFont="1" applyFill="1" applyBorder="1"/>
    <x:xf numFmtId="0" fontId="16" fillId="23" borderId="1" xfId="0" applyNumberFormat="1" applyFont="1" applyFill="1" applyBorder="1"/>
    <x:xf numFmtId="0" fontId="27" fillId="23" borderId="4" xfId="0" applyNumberFormat="1" applyFont="1" applyFill="1" applyBorder="1"/>
    <x:xf numFmtId="0" fontId="17" fillId="23" borderId="1" xfId="0" applyNumberFormat="1" applyFont="1" applyFill="1" applyBorder="1" applyAlignment="1">
      <x:alignment vertical="center"/>
    </x:xf>
    <x:xf numFmtId="167" fontId="0" fillId="23" borderId="3" xfId="0" applyNumberFormat="1" applyFont="1" applyFill="1" applyBorder="1" applyAlignment="1">
      <x:alignment horizontal="center" vertical="center" wrapText="1"/>
    </x:xf>
    <x:xf numFmtId="167" fontId="12" fillId="23" borderId="3" xfId="0" applyNumberFormat="1" applyFont="1" applyFill="1" applyBorder="1" applyAlignment="1">
      <x:alignment horizontal="center" vertical="center" wrapText="1"/>
    </x:xf>
    <x:xf numFmtId="49" fontId="14" fillId="23" borderId="3" xfId="0" applyNumberFormat="1" applyFont="1" applyFill="1" applyBorder="1" applyAlignment="1">
      <x:alignment vertical="center" wrapText="1"/>
    </x:xf>
    <x:xf numFmtId="0" fontId="30" fillId="23" borderId="2" xfId="0" applyNumberFormat="1" applyFont="1" applyFill="1" applyBorder="1"/>
    <x:xf numFmtId="49" fontId="12" fillId="23" borderId="5" xfId="0" applyNumberFormat="1" applyFont="1" applyFill="1" applyBorder="1"/>
    <x:xf numFmtId="0" fontId="12" fillId="23" borderId="5" xfId="0" applyNumberFormat="1" applyFont="1" applyFill="1" applyBorder="1" applyAlignment="1">
      <x:alignment horizontal="center"/>
    </x:xf>
    <x:xf numFmtId="0" fontId="0" fillId="23" borderId="50" xfId="0" applyNumberFormat="1" applyFont="1" applyFill="1" applyBorder="1"/>
    <x:xf numFmtId="49" fontId="0" fillId="23" borderId="5" xfId="0" applyNumberFormat="1" applyFont="1" applyFill="1" applyBorder="1" applyAlignment="1">
      <x:alignment wrapText="1"/>
    </x:xf>
    <x:xf numFmtId="3" fontId="60" fillId="23" borderId="3" xfId="0" applyNumberFormat="1" applyFont="1" applyFill="1" applyBorder="1" applyAlignment="1">
      <x:alignment horizontal="center" vertical="center" wrapText="1"/>
    </x:xf>
    <x:xf numFmtId="9" fontId="60" fillId="23" borderId="4" xfId="0" applyNumberFormat="1" applyFont="1" applyFill="1" applyBorder="1"/>
    <x:xf numFmtId="166" fontId="60" fillId="23" borderId="3" xfId="0" applyNumberFormat="1" applyFont="1" applyFill="1" applyBorder="1" applyAlignment="1">
      <x:alignment horizontal="center" vertical="center" wrapText="1"/>
    </x:xf>
    <x:xf numFmtId="166" fontId="63" fillId="23" borderId="3" xfId="0" applyNumberFormat="1" applyFont="1" applyFill="1" applyBorder="1" applyAlignment="1">
      <x:alignment horizontal="center" vertical="center" wrapText="1"/>
    </x:xf>
    <x:xf numFmtId="0" fontId="60" fillId="23" borderId="4" xfId="0" applyNumberFormat="1" applyFont="1" applyFill="1" applyBorder="1" applyAlignment="1">
      <x:alignment vertical="top" wrapText="1"/>
    </x:xf>
    <x:xf numFmtId="49" fontId="65" fillId="23" borderId="2" xfId="0" applyNumberFormat="1" applyFont="1" applyFill="1" applyBorder="1" applyAlignment="1">
      <x:alignment vertical="center"/>
    </x:xf>
    <x:xf numFmtId="0" fontId="63" fillId="23" borderId="4" xfId="0" applyNumberFormat="1" applyFont="1" applyFill="1" applyBorder="1"/>
    <x:xf numFmtId="0" fontId="60" fillId="23" borderId="49" xfId="0" applyNumberFormat="1" applyFont="1" applyFill="1" applyBorder="1"/>
    <x:xf numFmtId="165" fontId="63" fillId="23" borderId="3" xfId="0" applyNumberFormat="1" applyFont="1" applyFill="1" applyBorder="1" applyAlignment="1">
      <x:alignment horizontal="center" vertical="center" wrapText="1"/>
    </x:xf>
    <x:xf numFmtId="2" fontId="60" fillId="23" borderId="2" xfId="0" applyNumberFormat="1" applyFont="1" applyFill="1" applyBorder="1"/>
    <x:xf numFmtId="0" fontId="60" fillId="23" borderId="3" xfId="0" applyNumberFormat="1" applyFont="1" applyFill="1" applyBorder="1" applyAlignment="1">
      <x:alignment horizontal="center" vertical="center" wrapText="1"/>
    </x:xf>
    <x:xf numFmtId="3" fontId="63" fillId="23" borderId="3" xfId="0" applyNumberFormat="1" applyFont="1" applyFill="1" applyBorder="1" applyAlignment="1">
      <x:alignment horizontal="center" vertical="center" wrapText="1"/>
    </x:xf>
    <x:xf numFmtId="0" fontId="64" fillId="23" borderId="2" xfId="0" applyNumberFormat="1" applyFont="1" applyFill="1" applyBorder="1"/>
    <x:xf numFmtId="0" fontId="64" fillId="23" borderId="1" xfId="0" applyNumberFormat="1" applyFont="1" applyFill="1" applyBorder="1"/>
    <x:xf numFmtId="167" fontId="61" fillId="23" borderId="3" xfId="0" applyNumberFormat="1" applyFont="1" applyFill="1" applyBorder="1" applyAlignment="1">
      <x:alignment horizontal="center" vertical="center" wrapText="1"/>
    </x:xf>
    <x:xf numFmtId="167" fontId="60" fillId="23" borderId="3" xfId="0" applyNumberFormat="1" applyFont="1" applyFill="1" applyBorder="1" applyAlignment="1">
      <x:alignment horizontal="center" vertical="center" wrapText="1"/>
    </x:xf>
    <x:xf numFmtId="0" fontId="63" fillId="23" borderId="2" xfId="0" applyNumberFormat="1" applyFont="1" applyFill="1" applyBorder="1"/>
    <x:xf numFmtId="49" fontId="60" fillId="23" borderId="5" xfId="0" applyNumberFormat="1" applyFont="1" applyFill="1" applyBorder="1"/>
    <x:xf numFmtId="0" fontId="60" fillId="23" borderId="5" xfId="0" applyNumberFormat="1" applyFont="1" applyFill="1" applyBorder="1" applyAlignment="1">
      <x:alignment horizontal="center"/>
    </x:xf>
    <x:xf numFmtId="0" fontId="61" fillId="23" borderId="50" xfId="0" applyNumberFormat="1" applyFont="1" applyFill="1" applyBorder="1"/>
    <x:xf numFmtId="49" fontId="61" fillId="23" borderId="5" xfId="0" applyNumberFormat="1" applyFont="1" applyFill="1" applyBorder="1" applyAlignment="1">
      <x:alignment wrapText="1"/>
    </x:xf>
    <x:xf numFmtId="3" fontId="60" fillId="23" borderId="76" xfId="0" applyNumberFormat="1" applyFont="1" applyFill="1" applyBorder="1" applyAlignment="1">
      <x:alignment horizontal="center" vertical="center" wrapText="1"/>
    </x:xf>
    <x:xf numFmtId="9" fontId="60" fillId="23" borderId="76" xfId="0" applyNumberFormat="1" applyFont="1" applyFill="1" applyBorder="1"/>
    <x:xf numFmtId="166" fontId="60" fillId="23" borderId="76" xfId="0" applyNumberFormat="1" applyFont="1" applyFill="1" applyBorder="1" applyAlignment="1">
      <x:alignment horizontal="center" vertical="center" wrapText="1"/>
    </x:xf>
    <x:xf numFmtId="166" fontId="63" fillId="23" borderId="76" xfId="0" applyNumberFormat="1" applyFont="1" applyFill="1" applyBorder="1" applyAlignment="1">
      <x:alignment horizontal="center" vertical="center" wrapText="1"/>
    </x:xf>
    <x:xf numFmtId="0" fontId="60" fillId="23" borderId="76" xfId="0" applyNumberFormat="1" applyFont="1" applyFill="1" applyBorder="1" applyAlignment="1">
      <x:alignment vertical="top" wrapText="1"/>
    </x:xf>
    <x:xf numFmtId="49" fontId="65" fillId="23" borderId="84" xfId="0" applyNumberFormat="1" applyFont="1" applyFill="1" applyBorder="1" applyAlignment="1">
      <x:alignment vertical="center"/>
    </x:xf>
    <x:xf numFmtId="0" fontId="65" fillId="23" borderId="84" xfId="0" applyNumberFormat="1" applyFont="1" applyFill="1" applyBorder="1" applyAlignment="1">
      <x:alignment vertical="center"/>
    </x:xf>
    <x:xf numFmtId="0" fontId="61" fillId="23" borderId="84" xfId="0" applyNumberFormat="1" applyFont="1" applyFill="1" applyBorder="1" applyAlignment="1">
      <x:alignment horizontal="center"/>
    </x:xf>
    <x:xf numFmtId="0" fontId="63" fillId="23" borderId="76" xfId="0" applyNumberFormat="1" applyFont="1" applyFill="1" applyBorder="1"/>
    <x:xf numFmtId="165" fontId="63" fillId="23" borderId="76" xfId="0" applyNumberFormat="1" applyFont="1" applyFill="1" applyBorder="1" applyAlignment="1">
      <x:alignment horizontal="center" vertical="center" wrapText="1"/>
    </x:xf>
    <x:xf numFmtId="2" fontId="60" fillId="23" borderId="76" xfId="0" applyNumberFormat="1" applyFont="1" applyFill="1" applyBorder="1"/>
    <x:xf numFmtId="0" fontId="60" fillId="23" borderId="76" xfId="0" applyNumberFormat="1" applyFont="1" applyFill="1" applyBorder="1" applyAlignment="1">
      <x:alignment horizontal="center" vertical="center" wrapText="1"/>
    </x:xf>
    <x:xf numFmtId="3" fontId="63" fillId="23" borderId="76" xfId="0" applyNumberFormat="1" applyFont="1" applyFill="1" applyBorder="1" applyAlignment="1">
      <x:alignment horizontal="center" vertical="center" wrapText="1"/>
    </x:xf>
    <x:xf numFmtId="0" fontId="60" fillId="23" borderId="84" xfId="0" applyNumberFormat="1" applyFont="1" applyFill="1" applyBorder="1"/>
    <x:xf numFmtId="167" fontId="61" fillId="23" borderId="76" xfId="0" applyNumberFormat="1" applyFont="1" applyFill="1" applyBorder="1" applyAlignment="1">
      <x:alignment horizontal="center" vertical="center" wrapText="1"/>
    </x:xf>
    <x:xf numFmtId="167" fontId="60" fillId="23" borderId="76" xfId="0" applyNumberFormat="1" applyFont="1" applyFill="1" applyBorder="1" applyAlignment="1">
      <x:alignment horizontal="center" vertical="center" wrapText="1"/>
    </x:xf>
    <x:xf numFmtId="167" fontId="60" fillId="23" borderId="90" xfId="0" applyNumberFormat="1" applyFont="1" applyFill="1" applyBorder="1" applyAlignment="1">
      <x:alignment horizontal="center" vertical="center" wrapText="1"/>
    </x:xf>
    <x:xf numFmtId="49" fontId="60" fillId="23" borderId="76" xfId="0" applyNumberFormat="1" applyFont="1" applyFill="1" applyBorder="1"/>
    <x:xf numFmtId="49" fontId="63" fillId="23" borderId="76" xfId="0" applyNumberFormat="1" applyFont="1" applyFill="1" applyBorder="1" applyAlignment="1">
      <x:alignment vertical="center"/>
    </x:xf>
    <x:xf numFmtId="49" fontId="60" fillId="23" borderId="76" xfId="0" applyNumberFormat="1" applyFont="1" applyFill="1" applyBorder="1" applyAlignment="1">
      <x:alignment vertical="center" wrapText="1"/>
    </x:xf>
    <x:xf numFmtId="49" fontId="61" fillId="23" borderId="91" xfId="0" applyNumberFormat="1" applyFont="1" applyFill="1" applyBorder="1" applyAlignment="1">
      <x:alignment wrapText="1"/>
    </x:xf>
    <x:xf numFmtId="0" fontId="61" fillId="23" borderId="79" xfId="0" applyNumberFormat="1" applyFont="1" applyFill="1" applyBorder="1"/>
    <x:xf numFmtId="0" fontId="61" fillId="23" borderId="92" xfId="0" applyNumberFormat="1" applyFont="1" applyFill="1" applyBorder="1"/>
    <x:xf numFmtId="9" fontId="60" fillId="23" borderId="76" xfId="0" applyNumberFormat="1" applyFont="1" applyFill="1" applyBorder="1" applyAlignment="1">
      <x:alignment wrapText="0"/>
    </x:xf>
    <x:xf numFmtId="166" fontId="60" fillId="23" borderId="76" xfId="0" applyNumberFormat="1" applyFont="1" applyFill="1" applyBorder="1" applyAlignment="1">
      <x:alignment horizontal="center" vertical="center" wrapText="0"/>
    </x:xf>
    <x:xf numFmtId="166" fontId="63" fillId="23" borderId="76" xfId="0" applyNumberFormat="1" applyFont="1" applyFill="1" applyBorder="1" applyAlignment="1">
      <x:alignment horizontal="center" vertical="center" wrapText="0"/>
    </x:xf>
    <x:xf numFmtId="49" fontId="65" fillId="23" borderId="84" xfId="0" applyNumberFormat="1" applyFont="1" applyFill="1" applyBorder="1" applyAlignment="1">
      <x:alignment vertical="center" wrapText="0"/>
    </x:xf>
    <x:xf numFmtId="0" fontId="65" fillId="23" borderId="84" xfId="0" applyNumberFormat="1" applyFont="1" applyFill="1" applyBorder="1" applyAlignment="1">
      <x:alignment vertical="center" wrapText="0"/>
    </x:xf>
    <x:xf numFmtId="0" fontId="61" fillId="23" borderId="84" xfId="0" applyNumberFormat="1" applyFont="1" applyFill="1" applyBorder="1" applyAlignment="1">
      <x:alignment horizontal="center" wrapText="0"/>
    </x:xf>
    <x:xf numFmtId="0" fontId="63" fillId="23" borderId="76" xfId="0" applyNumberFormat="1" applyFont="1" applyFill="1" applyBorder="1" applyAlignment="1">
      <x:alignment wrapText="0"/>
    </x:xf>
    <x:xf numFmtId="165" fontId="63" fillId="23" borderId="76" xfId="0" applyNumberFormat="1" applyFont="1" applyFill="1" applyBorder="1" applyAlignment="1">
      <x:alignment horizontal="center" vertical="center" wrapText="0"/>
    </x:xf>
    <x:xf numFmtId="2" fontId="60" fillId="23" borderId="76" xfId="0" applyNumberFormat="1" applyFont="1" applyFill="1" applyBorder="1" applyAlignment="1">
      <x:alignment wrapText="0"/>
    </x:xf>
    <x:xf numFmtId="0" fontId="60" fillId="23" borderId="84" xfId="0" applyNumberFormat="1" applyFont="1" applyFill="1" applyBorder="1" applyAlignment="1">
      <x:alignment wrapText="0"/>
    </x:xf>
    <x:xf numFmtId="167" fontId="61" fillId="23" borderId="76" xfId="0" applyNumberFormat="1" applyFont="1" applyFill="1" applyBorder="1" applyAlignment="1">
      <x:alignment horizontal="center" vertical="center" wrapText="0"/>
    </x:xf>
    <x:xf numFmtId="167" fontId="60" fillId="23" borderId="76" xfId="0" applyNumberFormat="1" applyFont="1" applyFill="1" applyBorder="1" applyAlignment="1">
      <x:alignment horizontal="center" vertical="center" wrapText="0"/>
    </x:xf>
    <x:xf numFmtId="167" fontId="60" fillId="23" borderId="90" xfId="0" applyNumberFormat="1" applyFont="1" applyFill="1" applyBorder="1" applyAlignment="1">
      <x:alignment horizontal="center" vertical="center" wrapText="0"/>
    </x:xf>
    <x:xf numFmtId="49" fontId="60" fillId="23" borderId="76" xfId="0" applyNumberFormat="1" applyFont="1" applyFill="1" applyBorder="1" applyAlignment="1">
      <x:alignment wrapText="0"/>
    </x:xf>
    <x:xf numFmtId="49" fontId="63" fillId="23" borderId="76" xfId="0" applyNumberFormat="1" applyFont="1" applyFill="1" applyBorder="1" applyAlignment="1">
      <x:alignment vertical="center" wrapText="0"/>
    </x:xf>
    <x:xf numFmtId="49" fontId="60" fillId="23" borderId="76" xfId="0" applyNumberFormat="1" applyFont="1" applyFill="1" applyBorder="1" applyAlignment="1">
      <x:alignment vertical="center" wrapText="0"/>
    </x:xf>
    <x:xf numFmtId="49" fontId="61" fillId="23" borderId="91" xfId="0" applyNumberFormat="1" applyFont="1" applyFill="1" applyBorder="1" applyAlignment="1">
      <x:alignment wrapText="0"/>
    </x:xf>
    <x:xf numFmtId="0" fontId="61" fillId="23" borderId="79" xfId="0" applyNumberFormat="1" applyFont="1" applyFill="1" applyBorder="1" applyAlignment="1">
      <x:alignment wrapText="0"/>
    </x:xf>
    <x:xf numFmtId="0" fontId="61" fillId="23" borderId="92" xfId="0" applyNumberFormat="1" applyFont="1" applyFill="1" applyBorder="1" applyAlignment="1">
      <x:alignment wrapText="0"/>
    </x:xf>
    <x:xf numFmtId="9" fontId="60" fillId="23" borderId="76" xfId="0" applyNumberFormat="1" applyFont="1" applyFill="1" applyBorder="1" applyAlignment="1">
      <x:alignment vertical="top" wrapText="0"/>
    </x:xf>
    <x:xf numFmtId="166" fontId="60" fillId="23" borderId="76" xfId="0" applyNumberFormat="1" applyFont="1" applyFill="1" applyBorder="1" applyAlignment="1">
      <x:alignment horizontal="center" vertical="top" wrapText="0"/>
    </x:xf>
    <x:xf numFmtId="166" fontId="63" fillId="23" borderId="76" xfId="0" applyNumberFormat="1" applyFont="1" applyFill="1" applyBorder="1" applyAlignment="1">
      <x:alignment horizontal="center" vertical="top" wrapText="0"/>
    </x:xf>
    <x:xf numFmtId="49" fontId="65" fillId="23" borderId="84" xfId="0" applyNumberFormat="1" applyFont="1" applyFill="1" applyBorder="1" applyAlignment="1">
      <x:alignment vertical="top" wrapText="0"/>
    </x:xf>
    <x:xf numFmtId="0" fontId="65" fillId="23" borderId="84" xfId="0" applyNumberFormat="1" applyFont="1" applyFill="1" applyBorder="1" applyAlignment="1">
      <x:alignment vertical="top" wrapText="0"/>
    </x:xf>
    <x:xf numFmtId="0" fontId="61" fillId="23" borderId="84" xfId="0" applyNumberFormat="1" applyFont="1" applyFill="1" applyBorder="1" applyAlignment="1">
      <x:alignment horizontal="center" vertical="top" wrapText="0"/>
    </x:xf>
    <x:xf numFmtId="165" fontId="63" fillId="23" borderId="76" xfId="0" applyNumberFormat="1" applyFont="1" applyFill="1" applyBorder="1" applyAlignment="1">
      <x:alignment horizontal="center" vertical="top" wrapText="0"/>
    </x:xf>
    <x:xf numFmtId="2" fontId="60" fillId="23" borderId="76" xfId="0" applyNumberFormat="1" applyFont="1" applyFill="1" applyBorder="1" applyAlignment="1">
      <x:alignment vertical="top" wrapText="0"/>
    </x:xf>
    <x:xf numFmtId="0" fontId="60" fillId="23" borderId="84" xfId="0" applyNumberFormat="1" applyFont="1" applyFill="1" applyBorder="1" applyAlignment="1">
      <x:alignment vertical="top" wrapText="0"/>
    </x:xf>
    <x:xf numFmtId="167" fontId="61" fillId="23" borderId="76" xfId="0" applyNumberFormat="1" applyFont="1" applyFill="1" applyBorder="1" applyAlignment="1">
      <x:alignment horizontal="center" vertical="top" wrapText="0"/>
    </x:xf>
    <x:xf numFmtId="167" fontId="60" fillId="23" borderId="76" xfId="0" applyNumberFormat="1" applyFont="1" applyFill="1" applyBorder="1" applyAlignment="1">
      <x:alignment horizontal="center" vertical="top" wrapText="0"/>
    </x:xf>
    <x:xf numFmtId="167" fontId="60" fillId="23" borderId="90" xfId="0" applyNumberFormat="1" applyFont="1" applyFill="1" applyBorder="1" applyAlignment="1">
      <x:alignment horizontal="center" vertical="top" wrapText="0"/>
    </x:xf>
    <x:xf numFmtId="49" fontId="60" fillId="23" borderId="76" xfId="0" applyNumberFormat="1" applyFont="1" applyFill="1" applyBorder="1" applyAlignment="1">
      <x:alignment vertical="top" wrapText="0"/>
    </x:xf>
    <x:xf numFmtId="49" fontId="61" fillId="23" borderId="91" xfId="0" applyNumberFormat="1" applyFont="1" applyFill="1" applyBorder="1" applyAlignment="1">
      <x:alignment vertical="top" wrapText="0"/>
    </x:xf>
    <x:xf numFmtId="0" fontId="61" fillId="23" borderId="79" xfId="0" applyNumberFormat="1" applyFont="1" applyFill="1" applyBorder="1" applyAlignment="1">
      <x:alignment vertical="top" wrapText="0"/>
    </x:xf>
    <x:xf numFmtId="0" fontId="61" fillId="23" borderId="92" xfId="0" applyNumberFormat="1" applyFont="1" applyFill="1" applyBorder="1" applyAlignment="1">
      <x:alignment vertical="top" wrapText="0"/>
    </x:xf>
    <x:xf numFmtId="9" fontId="60" fillId="25" borderId="76" xfId="0" applyNumberFormat="1" applyFont="1" applyFill="1" applyBorder="1" applyAlignment="1">
      <x:alignment vertical="top" wrapText="0"/>
    </x:xf>
    <x:xf numFmtId="9" fontId="70" fillId="25" borderId="76" xfId="0" applyNumberFormat="1" applyFont="1" applyFill="1" applyBorder="1" applyAlignment="1">
      <x:alignment vertical="top" wrapText="0"/>
    </x:xf>
    <x:xf numFmtId="9" fontId="70" fillId="25" borderId="76" xfId="0" applyNumberFormat="1" applyFont="1" applyFill="1" applyBorder="1" applyAlignment="1">
      <x:alignment vertical="top" wrapText="1"/>
    </x:xf>
    <x:xf numFmtId="9" fontId="70" fillId="25" borderId="76" xfId="0" applyNumberFormat="1" applyFont="1" applyFill="1" applyBorder="1" applyAlignment="1">
      <x:alignment vertical="center" wrapText="1"/>
    </x:xf>
    <x:xf numFmtId="165" fontId="60" fillId="25" borderId="76" xfId="0" applyNumberFormat="1" applyFont="1" applyFill="1" applyBorder="1" applyAlignment="1">
      <x:alignment horizontal="center" vertical="top" wrapText="0"/>
    </x:xf>
    <x:xf numFmtId="166" fontId="60" fillId="25" borderId="76" xfId="0" applyNumberFormat="1" applyFont="1" applyFill="1" applyBorder="1" applyAlignment="1">
      <x:alignment horizontal="center" vertical="top" wrapText="0"/>
    </x:xf>
    <x:xf numFmtId="166" fontId="63" fillId="25" borderId="76" xfId="0" applyNumberFormat="1" applyFont="1" applyFill="1" applyBorder="1" applyAlignment="1">
      <x:alignment horizontal="center" vertical="top" wrapText="0"/>
    </x:xf>
    <x:xf numFmtId="165" fontId="70" fillId="25" borderId="76" xfId="0" applyNumberFormat="1" applyFont="1" applyFill="1" applyBorder="1" applyAlignment="1">
      <x:alignment horizontal="center" vertical="top" wrapText="0"/>
    </x:xf>
    <x:xf numFmtId="166" fontId="70" fillId="25" borderId="76" xfId="0" applyNumberFormat="1" applyFont="1" applyFill="1" applyBorder="1" applyAlignment="1">
      <x:alignment horizontal="center" vertical="top" wrapText="0"/>
    </x:xf>
    <x:xf numFmtId="165" fontId="70" fillId="25" borderId="76" xfId="0" applyNumberFormat="1" applyFont="1" applyFill="1" applyBorder="1" applyAlignment="1">
      <x:alignment horizontal="center" vertical="top" wrapText="1"/>
    </x:xf>
    <x:xf numFmtId="166" fontId="70" fillId="25" borderId="76" xfId="0" applyNumberFormat="1" applyFont="1" applyFill="1" applyBorder="1" applyAlignment="1">
      <x:alignment horizontal="center" vertical="top" wrapText="1"/>
    </x:xf>
    <x:xf numFmtId="165" fontId="70" fillId="25" borderId="76" xfId="0" applyNumberFormat="1" applyFont="1" applyFill="1" applyBorder="1" applyAlignment="1">
      <x:alignment horizontal="center" vertical="center" wrapText="1"/>
    </x:xf>
    <x:xf numFmtId="166" fontId="70" fillId="25" borderId="76" xfId="0" applyNumberFormat="1" applyFont="1" applyFill="1" applyBorder="1" applyAlignment="1">
      <x:alignment horizontal="center" vertical="center" wrapText="1"/>
    </x:xf>
    <x:xf numFmtId="165" fontId="63" fillId="25" borderId="76" xfId="0" applyNumberFormat="1" applyFont="1" applyFill="1" applyBorder="1" applyAlignment="1">
      <x:alignment horizontal="center" vertical="top" wrapText="0"/>
    </x:xf>
    <x:xf numFmtId="2" fontId="60" fillId="25" borderId="76" xfId="0" applyNumberFormat="1" applyFont="1" applyFill="1" applyBorder="1" applyAlignment="1">
      <x:alignment vertical="top" wrapText="0"/>
    </x:xf>
    <x:xf numFmtId="2" fontId="70" fillId="25" borderId="76" xfId="0" applyNumberFormat="1" applyFont="1" applyFill="1" applyBorder="1" applyAlignment="1">
      <x:alignment vertical="top" wrapText="0"/>
    </x:xf>
    <x:xf numFmtId="2" fontId="70" fillId="25" borderId="76" xfId="0" applyNumberFormat="1" applyFont="1" applyFill="1" applyBorder="1" applyAlignment="1">
      <x:alignment vertical="top" wrapText="1"/>
    </x:xf>
    <x:xf numFmtId="2" fontId="70" fillId="25" borderId="76" xfId="0" applyNumberFormat="1" applyFont="1" applyFill="1" applyBorder="1" applyAlignment="1">
      <x:alignment vertical="center" wrapText="1"/>
    </x:xf>
    <x:xf numFmtId="167" fontId="61" fillId="25" borderId="76" xfId="0" applyNumberFormat="1" applyFont="1" applyFill="1" applyBorder="1" applyAlignment="1">
      <x:alignment horizontal="center" vertical="top" wrapText="0"/>
    </x:xf>
    <x:xf numFmtId="167" fontId="60" fillId="25" borderId="76" xfId="0" applyNumberFormat="1" applyFont="1" applyFill="1" applyBorder="1" applyAlignment="1">
      <x:alignment horizontal="center" vertical="top" wrapText="0"/>
    </x:xf>
    <x:xf numFmtId="167" fontId="60" fillId="25" borderId="90" xfId="0" applyNumberFormat="1" applyFont="1" applyFill="1" applyBorder="1" applyAlignment="1">
      <x:alignment horizontal="center" vertical="top" wrapText="0"/>
    </x:xf>
    <x:xf numFmtId="167" fontId="68" fillId="25" borderId="76" xfId="0" applyNumberFormat="1" applyFont="1" applyFill="1" applyBorder="1" applyAlignment="1">
      <x:alignment horizontal="center" vertical="top" wrapText="0"/>
    </x:xf>
    <x:xf numFmtId="167" fontId="70" fillId="25" borderId="76" xfId="0" applyNumberFormat="1" applyFont="1" applyFill="1" applyBorder="1" applyAlignment="1">
      <x:alignment horizontal="center" vertical="top" wrapText="0"/>
    </x:xf>
    <x:xf numFmtId="167" fontId="70" fillId="25" borderId="90" xfId="0" applyNumberFormat="1" applyFont="1" applyFill="1" applyBorder="1" applyAlignment="1">
      <x:alignment horizontal="center" vertical="top" wrapText="0"/>
    </x:xf>
    <x:xf numFmtId="167" fontId="68" fillId="25" borderId="76" xfId="0" applyNumberFormat="1" applyFont="1" applyFill="1" applyBorder="1" applyAlignment="1">
      <x:alignment horizontal="center" vertical="top" wrapText="1"/>
    </x:xf>
    <x:xf numFmtId="167" fontId="70" fillId="25" borderId="76" xfId="0" applyNumberFormat="1" applyFont="1" applyFill="1" applyBorder="1" applyAlignment="1">
      <x:alignment horizontal="center" vertical="top" wrapText="1"/>
    </x:xf>
    <x:xf numFmtId="167" fontId="68" fillId="25" borderId="76" xfId="0" applyNumberFormat="1" applyFont="1" applyFill="1" applyBorder="1" applyAlignment="1">
      <x:alignment horizontal="center" vertical="center" wrapText="1"/>
    </x:xf>
    <x:xf numFmtId="167" fontId="70" fillId="25" borderId="76" xfId="0" applyNumberFormat="1" applyFont="1" applyFill="1" applyBorder="1" applyAlignment="1">
      <x:alignment horizontal="center" vertical="center" wrapText="1"/>
    </x:xf>
    <x:xf numFmtId="49" fontId="60" fillId="25" borderId="76" xfId="0" applyNumberFormat="1" applyFont="1" applyFill="1" applyBorder="1" applyAlignment="1">
      <x:alignment vertical="top" wrapText="0"/>
    </x:xf>
    <x:xf numFmtId="49" fontId="63" fillId="25" borderId="76" xfId="0" applyNumberFormat="1" applyFont="1" applyFill="1" applyBorder="1" applyAlignment="1">
      <x:alignment vertical="top" wrapText="0"/>
    </x:xf>
    <x:xf numFmtId="164" fontId="5" fillId="23" borderId="11" xfId="0" applyNumberFormat="1" applyFont="1" applyFill="1" applyBorder="1" applyAlignment="1">
      <x:alignment horizontal="center" vertical="center"/>
    </x:xf>
    <x:xf numFmtId="164" fontId="5" fillId="23" borderId="12" xfId="0" applyNumberFormat="1" applyFont="1" applyFill="1" applyBorder="1" applyAlignment="1">
      <x:alignment horizontal="center" vertical="center"/>
    </x:xf>
    <x:xf numFmtId="164" fontId="5" fillId="23" borderId="15" xfId="0" applyNumberFormat="1" applyFont="1" applyFill="1" applyBorder="1" applyAlignment="1">
      <x:alignment horizontal="center" vertical="center"/>
    </x:xf>
    <x:xf numFmtId="164" fontId="5" fillId="23" borderId="16" xfId="0" applyNumberFormat="1" applyFont="1" applyFill="1" applyBorder="1" applyAlignment="1">
      <x:alignment horizontal="center" vertical="center"/>
    </x:xf>
    <x:xf numFmtId="49" fontId="63" fillId="23" borderId="11" xfId="0" applyNumberFormat="1" applyFont="1" applyFill="1" applyBorder="1" applyAlignment="1">
      <x:alignment horizontal="center" vertical="center" wrapText="1"/>
    </x:xf>
    <x:xf numFmtId="49" fontId="63" fillId="23" borderId="12" xfId="0" applyNumberFormat="1" applyFont="1" applyFill="1" applyBorder="1" applyAlignment="1">
      <x:alignment horizontal="center" vertical="center" wrapText="1"/>
    </x:xf>
    <x:xf numFmtId="49" fontId="63" fillId="23" borderId="13" xfId="0" applyNumberFormat="1" applyFont="1" applyFill="1" applyBorder="1" applyAlignment="1">
      <x:alignment horizontal="center" vertical="center" wrapText="1"/>
    </x:xf>
    <x:xf numFmtId="0" fontId="61" fillId="23" borderId="14" xfId="0" applyNumberFormat="1" applyFont="1" applyFill="1" applyBorder="1"/>
    <x:xf numFmtId="164" fontId="60" fillId="23" borderId="11" xfId="0" applyNumberFormat="1" applyFont="1" applyFill="1" applyBorder="1" applyAlignment="1">
      <x:alignment horizontal="center" vertical="center"/>
    </x:xf>
    <x:xf numFmtId="164" fontId="60" fillId="23" borderId="12" xfId="0" applyNumberFormat="1" applyFont="1" applyFill="1" applyBorder="1" applyAlignment="1">
      <x:alignment horizontal="center" vertical="center"/>
    </x:xf>
    <x:xf numFmtId="49" fontId="60" fillId="23" borderId="12" xfId="0" applyNumberFormat="1" applyFont="1" applyFill="1" applyBorder="1" applyAlignment="1">
      <x:alignment horizontal="center" vertical="center"/>
    </x:xf>
    <x:xf numFmtId="49" fontId="60" fillId="23" borderId="12" xfId="0" applyNumberFormat="1" applyFont="1" applyFill="1" applyBorder="1" applyAlignment="1">
      <x:alignment horizontal="left" vertical="center" wrapText="1"/>
    </x:xf>
    <x:xf numFmtId="0" fontId="60" fillId="23" borderId="12" xfId="0" applyNumberFormat="1" applyFont="1" applyFill="1" applyBorder="1" applyAlignment="1">
      <x:alignment horizontal="center" vertical="center"/>
    </x:xf>
    <x:xf numFmtId="49" fontId="60" fillId="23" borderId="13" xfId="0" applyNumberFormat="1" applyFont="1" applyFill="1" applyBorder="1" applyAlignment="1">
      <x:alignment horizontal="left" vertical="center" wrapText="1"/>
    </x:xf>
    <x:xf numFmtId="164" fontId="60" fillId="23" borderId="15" xfId="0" applyNumberFormat="1" applyFont="1" applyFill="1" applyBorder="1" applyAlignment="1">
      <x:alignment horizontal="center" vertical="center"/>
    </x:xf>
    <x:xf numFmtId="164" fontId="60" fillId="23" borderId="16" xfId="0" applyNumberFormat="1" applyFont="1" applyFill="1" applyBorder="1" applyAlignment="1">
      <x:alignment horizontal="center" vertical="center"/>
    </x:xf>
    <x:xf numFmtId="49" fontId="60" fillId="23" borderId="16" xfId="0" applyNumberFormat="1" applyFont="1" applyFill="1" applyBorder="1" applyAlignment="1">
      <x:alignment horizontal="center" vertical="center"/>
    </x:xf>
    <x:xf numFmtId="49" fontId="60" fillId="23" borderId="16" xfId="0" applyNumberFormat="1" applyFont="1" applyFill="1" applyBorder="1" applyAlignment="1">
      <x:alignment horizontal="left" vertical="center" wrapText="1"/>
    </x:xf>
    <x:xf numFmtId="0" fontId="60" fillId="23" borderId="16" xfId="0" applyNumberFormat="1" applyFont="1" applyFill="1" applyBorder="1" applyAlignment="1">
      <x:alignment horizontal="center" vertical="center"/>
    </x:xf>
    <x:xf numFmtId="49" fontId="60" fillId="23" borderId="17" xfId="0" applyNumberFormat="1" applyFont="1" applyFill="1" applyBorder="1" applyAlignment="1">
      <x:alignment horizontal="left" vertical="center" wrapText="1"/>
    </x:xf>
    <x:xf numFmtId="0" fontId="61" fillId="23" borderId="18" xfId="0" applyNumberFormat="1" applyFont="1" applyFill="1" applyBorder="1"/>
    <x:xf numFmtId="49" fontId="63" fillId="23" borderId="117" xfId="0" applyNumberFormat="1" applyFont="1" applyFill="1" applyBorder="1" applyAlignment="1">
      <x:alignment horizontal="center" vertical="center" wrapText="1"/>
    </x:xf>
    <x:xf numFmtId="49" fontId="63" fillId="23" borderId="118" xfId="0" applyNumberFormat="1" applyFont="1" applyFill="1" applyBorder="1" applyAlignment="1">
      <x:alignment horizontal="center" vertical="center" wrapText="1"/>
    </x:xf>
    <x:xf numFmtId="0" fontId="61" fillId="23" borderId="119" xfId="0" applyNumberFormat="1" applyFont="1" applyFill="1" applyBorder="1"/>
    <x:xf numFmtId="164" fontId="60" fillId="23" borderId="120" xfId="0" applyNumberFormat="1" applyFont="1" applyFill="1" applyBorder="1" applyAlignment="1">
      <x:alignment horizontal="center" vertical="center"/>
    </x:xf>
    <x:xf numFmtId="164" fontId="60" fillId="23" borderId="76" xfId="0" applyNumberFormat="1" applyFont="1" applyFill="1" applyBorder="1" applyAlignment="1">
      <x:alignment horizontal="center" vertical="center"/>
    </x:xf>
    <x:xf numFmtId="49" fontId="60" fillId="23" borderId="76" xfId="0" applyNumberFormat="1" applyFont="1" applyFill="1" applyBorder="1" applyAlignment="1">
      <x:alignment horizontal="center" vertical="center"/>
    </x:xf>
    <x:xf numFmtId="49" fontId="60" fillId="23" borderId="76" xfId="0" applyNumberFormat="1" applyFont="1" applyFill="1" applyBorder="1" applyAlignment="1">
      <x:alignment horizontal="left" vertical="center" wrapText="1"/>
    </x:xf>
    <x:xf numFmtId="0" fontId="61" fillId="23" borderId="121" xfId="0" applyNumberFormat="1" applyFont="1" applyFill="1" applyBorder="1"/>
    <x:xf numFmtId="0" fontId="61" fillId="23" borderId="122" xfId="0" applyNumberFormat="1" applyFont="1" applyFill="1" applyBorder="1"/>
    <x:xf numFmtId="0" fontId="61" fillId="23" borderId="123" xfId="0" applyNumberFormat="1" applyFont="1" applyFill="1" applyBorder="1"/>
    <x:xf numFmtId="49" fontId="63" fillId="23" borderId="117" xfId="0" applyNumberFormat="1" applyFont="1" applyFill="1" applyBorder="1" applyAlignment="1">
      <x:alignment horizontal="center" vertical="center" wrapText="0"/>
    </x:xf>
    <x:xf numFmtId="49" fontId="63" fillId="23" borderId="118" xfId="0" applyNumberFormat="1" applyFont="1" applyFill="1" applyBorder="1" applyAlignment="1">
      <x:alignment horizontal="center" vertical="center" wrapText="0"/>
    </x:xf>
    <x:xf numFmtId="0" fontId="61" fillId="23" borderId="119" xfId="0" applyNumberFormat="1" applyFont="1" applyFill="1" applyBorder="1" applyAlignment="1">
      <x:alignment wrapText="0"/>
    </x:xf>
    <x:xf numFmtId="164" fontId="60" fillId="23" borderId="120" xfId="0" applyNumberFormat="1" applyFont="1" applyFill="1" applyBorder="1" applyAlignment="1">
      <x:alignment horizontal="center" vertical="center" wrapText="0"/>
    </x:xf>
    <x:xf numFmtId="164" fontId="60" fillId="23" borderId="76" xfId="0" applyNumberFormat="1" applyFont="1" applyFill="1" applyBorder="1" applyAlignment="1">
      <x:alignment horizontal="center" vertical="center" wrapText="0"/>
    </x:xf>
    <x:xf numFmtId="49" fontId="60" fillId="23" borderId="76" xfId="0" applyNumberFormat="1" applyFont="1" applyFill="1" applyBorder="1" applyAlignment="1">
      <x:alignment horizontal="center" vertical="center" wrapText="0"/>
    </x:xf>
    <x:xf numFmtId="49" fontId="60" fillId="23" borderId="76" xfId="0" applyNumberFormat="1" applyFont="1" applyFill="1" applyBorder="1" applyAlignment="1">
      <x:alignment horizontal="left" vertical="center" wrapText="0"/>
    </x:xf>
    <x:xf numFmtId="0" fontId="61" fillId="23" borderId="121" xfId="0" applyNumberFormat="1" applyFont="1" applyFill="1" applyBorder="1" applyAlignment="1">
      <x:alignment wrapText="0"/>
    </x:xf>
    <x:xf numFmtId="0" fontId="61" fillId="23" borderId="122" xfId="0" applyNumberFormat="1" applyFont="1" applyFill="1" applyBorder="1" applyAlignment="1">
      <x:alignment wrapText="0"/>
    </x:xf>
    <x:xf numFmtId="0" fontId="61" fillId="23" borderId="123" xfId="0" applyNumberFormat="1" applyFont="1" applyFill="1" applyBorder="1" applyAlignment="1">
      <x:alignment wrapText="0"/>
    </x:xf>
    <x:xf numFmtId="49" fontId="63" fillId="23" borderId="117" xfId="0" applyNumberFormat="1" applyFont="1" applyFill="1" applyBorder="1" applyAlignment="1">
      <x:alignment horizontal="center" vertical="top" wrapText="0"/>
    </x:xf>
    <x:xf numFmtId="49" fontId="63" fillId="23" borderId="118" xfId="0" applyNumberFormat="1" applyFont="1" applyFill="1" applyBorder="1" applyAlignment="1">
      <x:alignment horizontal="center" vertical="top" wrapText="0"/>
    </x:xf>
    <x:xf numFmtId="0" fontId="61" fillId="23" borderId="119" xfId="0" applyNumberFormat="1" applyFont="1" applyFill="1" applyBorder="1" applyAlignment="1">
      <x:alignment vertical="top" wrapText="0"/>
    </x:xf>
    <x:xf numFmtId="164" fontId="60" fillId="23" borderId="120" xfId="0" applyNumberFormat="1" applyFont="1" applyFill="1" applyBorder="1" applyAlignment="1">
      <x:alignment horizontal="center" vertical="top" wrapText="0"/>
    </x:xf>
    <x:xf numFmtId="164" fontId="60" fillId="23" borderId="76" xfId="0" applyNumberFormat="1" applyFont="1" applyFill="1" applyBorder="1" applyAlignment="1">
      <x:alignment horizontal="center" vertical="top" wrapText="0"/>
    </x:xf>
    <x:xf numFmtId="49" fontId="60" fillId="23" borderId="76" xfId="0" applyNumberFormat="1" applyFont="1" applyFill="1" applyBorder="1" applyAlignment="1">
      <x:alignment horizontal="center" vertical="top" wrapText="0"/>
    </x:xf>
    <x:xf numFmtId="49" fontId="60" fillId="23" borderId="76" xfId="0" applyNumberFormat="1" applyFont="1" applyFill="1" applyBorder="1" applyAlignment="1">
      <x:alignment horizontal="left" vertical="top" wrapText="0"/>
    </x:xf>
    <x:xf numFmtId="0" fontId="61" fillId="23" borderId="121" xfId="0" applyNumberFormat="1" applyFont="1" applyFill="1" applyBorder="1" applyAlignment="1">
      <x:alignment vertical="top" wrapText="0"/>
    </x:xf>
    <x:xf numFmtId="0" fontId="61" fillId="23" borderId="122" xfId="0" applyNumberFormat="1" applyFont="1" applyFill="1" applyBorder="1" applyAlignment="1">
      <x:alignment vertical="top" wrapText="0"/>
    </x:xf>
    <x:xf numFmtId="0" fontId="61" fillId="23" borderId="123" xfId="0" applyNumberFormat="1" applyFont="1" applyFill="1" applyBorder="1" applyAlignment="1">
      <x:alignment vertical="top" wrapText="0"/>
    </x:xf>
    <x:xf numFmtId="49" fontId="63" fillId="26" borderId="117" xfId="0" applyNumberFormat="1" applyFont="1" applyFill="1" applyBorder="1" applyAlignment="1">
      <x:alignment horizontal="center" vertical="top" wrapText="0"/>
    </x:xf>
    <x:xf numFmtId="49" fontId="74" fillId="26" borderId="117" xfId="0" applyNumberFormat="1" applyFont="1" applyFill="1" applyBorder="1" applyAlignment="1">
      <x:alignment horizontal="center" vertical="top" wrapText="0"/>
    </x:xf>
    <x:xf numFmtId="49" fontId="74" fillId="26" borderId="117" xfId="0" applyNumberFormat="1" applyFont="1" applyFill="1" applyBorder="1" applyAlignment="1">
      <x:alignment horizontal="center" vertical="top" wrapText="1"/>
    </x:xf>
    <x:xf numFmtId="49" fontId="74" fillId="26" borderId="117" xfId="0" applyNumberFormat="1" applyFont="1" applyFill="1" applyBorder="1" applyAlignment="1">
      <x:alignment horizontal="center" vertical="center" wrapText="1"/>
    </x:xf>
    <x:xf numFmtId="200" fontId="74" fillId="26" borderId="117" xfId="0" applyNumberFormat="1" applyFont="1" applyFill="1" applyBorder="1" applyAlignment="1">
      <x:alignment horizontal="center" vertical="center" wrapText="1"/>
    </x:xf>
    <x:xf numFmtId="200" fontId="63" fillId="23" borderId="118" xfId="0" applyNumberFormat="1" applyFont="1" applyFill="1" applyBorder="1" applyAlignment="1">
      <x:alignment horizontal="center" vertical="top" wrapText="0"/>
    </x:xf>
    <x:xf numFmtId="201" fontId="63" fillId="23" borderId="118" xfId="0" applyNumberFormat="1" applyFont="1" applyFill="1" applyBorder="1" applyAlignment="1">
      <x:alignment horizontal="center" vertical="top" wrapText="0"/>
    </x:xf>
    <x:xf numFmtId="49" fontId="0" fillId="23" borderId="14" xfId="0" applyNumberFormat="1" applyFont="1" applyFill="1" applyBorder="1"/>
    <x:xf numFmtId="3" fontId="5" fillId="23" borderId="12" xfId="0" applyNumberFormat="1" applyFont="1" applyFill="1" applyBorder="1" applyAlignment="1">
      <x:alignment horizontal="center" vertical="center"/>
    </x:xf>
    <x:xf numFmtId="10" fontId="5" fillId="23" borderId="12" xfId="0" applyNumberFormat="1" applyFont="1" applyFill="1" applyBorder="1" applyAlignment="1">
      <x:alignment horizontal="center" vertical="center"/>
    </x:xf>
    <x:xf numFmtId="49" fontId="5" fillId="23" borderId="12" xfId="0" applyNumberFormat="1" applyFont="1" applyFill="1" applyBorder="1" applyAlignment="1">
      <x:alignment horizontal="center" vertical="center" wrapText="1"/>
    </x:xf>
    <x:xf numFmtId="3" fontId="5" fillId="23" borderId="16" xfId="0" applyNumberFormat="1" applyFont="1" applyFill="1" applyBorder="1" applyAlignment="1">
      <x:alignment horizontal="center" vertical="center"/>
    </x:xf>
    <x:xf numFmtId="10" fontId="5" fillId="23" borderId="16" xfId="0" applyNumberFormat="1" applyFont="1" applyFill="1" applyBorder="1" applyAlignment="1">
      <x:alignment horizontal="center" vertical="center"/>
    </x:xf>
    <x:xf numFmtId="49" fontId="5" fillId="23" borderId="16" xfId="0" applyNumberFormat="1" applyFont="1" applyFill="1" applyBorder="1" applyAlignment="1">
      <x:alignment horizontal="center" vertical="center" wrapText="1"/>
    </x:xf>
    <x:xf numFmtId="49" fontId="61" fillId="23" borderId="14" xfId="0" applyNumberFormat="1" applyFont="1" applyFill="1" applyBorder="1"/>
    <x:xf numFmtId="3" fontId="60" fillId="23" borderId="12" xfId="0" applyNumberFormat="1" applyFont="1" applyFill="1" applyBorder="1" applyAlignment="1">
      <x:alignment horizontal="center" vertical="center"/>
    </x:xf>
    <x:xf numFmtId="10" fontId="60" fillId="23" borderId="12" xfId="0" applyNumberFormat="1" applyFont="1" applyFill="1" applyBorder="1" applyAlignment="1">
      <x:alignment horizontal="center" vertical="center"/>
    </x:xf>
    <x:xf numFmtId="49" fontId="60" fillId="23" borderId="12" xfId="0" applyNumberFormat="1" applyFont="1" applyFill="1" applyBorder="1" applyAlignment="1">
      <x:alignment horizontal="center" vertical="center" wrapText="1"/>
    </x:xf>
    <x:xf numFmtId="3" fontId="60" fillId="23" borderId="16" xfId="0" applyNumberFormat="1" applyFont="1" applyFill="1" applyBorder="1" applyAlignment="1">
      <x:alignment horizontal="center" vertical="center"/>
    </x:xf>
    <x:xf numFmtId="10" fontId="60" fillId="23" borderId="16" xfId="0" applyNumberFormat="1" applyFont="1" applyFill="1" applyBorder="1" applyAlignment="1">
      <x:alignment horizontal="center" vertical="center"/>
    </x:xf>
    <x:xf numFmtId="49" fontId="60" fillId="23" borderId="16" xfId="0" applyNumberFormat="1" applyFont="1" applyFill="1" applyBorder="1" applyAlignment="1">
      <x:alignment horizontal="center" vertical="center" wrapText="1"/>
    </x:xf>
    <x:xf numFmtId="49" fontId="61" fillId="23" borderId="119" xfId="0" applyNumberFormat="1" applyFont="1" applyFill="1" applyBorder="1"/>
    <x:xf numFmtId="10" fontId="60" fillId="23" borderId="76" xfId="0" applyNumberFormat="1" applyFont="1" applyFill="1" applyBorder="1" applyAlignment="1">
      <x:alignment horizontal="center" vertical="center"/>
    </x:xf>
    <x:xf numFmtId="49" fontId="60" fillId="23" borderId="76" xfId="0" applyNumberFormat="1" applyFont="1" applyFill="1" applyBorder="1" applyAlignment="1">
      <x:alignment horizontal="center" vertical="center" wrapText="1"/>
    </x:xf>
    <x:xf numFmtId="49" fontId="61" fillId="23" borderId="119" xfId="0" applyNumberFormat="1" applyFont="1" applyFill="1" applyBorder="1" applyAlignment="1">
      <x:alignment wrapText="0"/>
    </x:xf>
    <x:xf numFmtId="10" fontId="60" fillId="23" borderId="76" xfId="0" applyNumberFormat="1" applyFont="1" applyFill="1" applyBorder="1" applyAlignment="1">
      <x:alignment horizontal="center" vertical="center" wrapText="0"/>
    </x:xf>
    <x:xf numFmtId="49" fontId="61" fillId="23" borderId="119" xfId="0" applyNumberFormat="1" applyFont="1" applyFill="1" applyBorder="1" applyAlignment="1">
      <x:alignment vertical="top" wrapText="0"/>
    </x:xf>
    <x:xf numFmtId="10" fontId="60" fillId="23" borderId="76" xfId="0" applyNumberFormat="1" applyFont="1" applyFill="1" applyBorder="1" applyAlignment="1">
      <x:alignment horizontal="center" vertical="top" wrapText="0"/>
    </x:xf>
    <x:xf numFmtId="167" fontId="63" fillId="23" borderId="118" xfId="0" applyNumberFormat="1" applyFont="1" applyFill="1" applyBorder="1" applyAlignment="1">
      <x:alignment horizontal="center" vertical="top" wrapText="0"/>
    </x:xf>
    <x:xf numFmtId="49" fontId="39" fillId="23" borderId="51" xfId="0" applyNumberFormat="1" applyFont="1" applyFill="1" applyBorder="1" applyAlignment="1">
      <x:alignment horizontal="left" vertical="center"/>
    </x:xf>
    <x:xf numFmtId="0" fontId="39" fillId="23" borderId="52" xfId="0" applyNumberFormat="1" applyFont="1" applyFill="1" applyBorder="1" applyAlignment="1">
      <x:alignment horizontal="left" vertical="center"/>
    </x:xf>
    <x:xf numFmtId="0" fontId="38" fillId="23" borderId="53" xfId="0" applyNumberFormat="1" applyFont="1" applyFill="1" applyBorder="1"/>
    <x:xf numFmtId="49" fontId="41" fillId="23" borderId="54" xfId="0" applyNumberFormat="1" applyFont="1" applyFill="1" applyBorder="1" applyAlignment="1">
      <x:alignment horizontal="left" vertical="center" wrapText="1"/>
    </x:xf>
    <x:xf numFmtId="0" fontId="41" fillId="23" borderId="0" xfId="0" applyNumberFormat="1" applyFont="1" applyFill="1" applyBorder="1" applyAlignment="1">
      <x:alignment horizontal="left" vertical="center" wrapText="1"/>
    </x:xf>
    <x:xf numFmtId="0" fontId="38" fillId="23" borderId="55" xfId="0" applyNumberFormat="1" applyFont="1" applyFill="1" applyBorder="1"/>
    <x:xf numFmtId="49" fontId="42" fillId="23" borderId="56" xfId="0" applyNumberFormat="1" applyFont="1" applyFill="1" applyBorder="1" applyAlignment="1">
      <x:alignment horizontal="center" vertical="center" wrapText="1"/>
    </x:xf>
    <x:xf numFmtId="0" fontId="38" fillId="23" borderId="57" xfId="0" applyNumberFormat="1" applyFont="1" applyFill="1" applyBorder="1"/>
    <x:xf numFmtId="168" fontId="43" fillId="23" borderId="58" xfId="0" applyNumberFormat="1" applyFont="1" applyFill="1" applyBorder="1" applyAlignment="1">
      <x:alignment horizontal="center" vertical="top"/>
    </x:xf>
    <x:xf numFmtId="168" fontId="43" fillId="23" borderId="59" xfId="0" applyNumberFormat="1" applyFont="1" applyFill="1" applyBorder="1" applyAlignment="1">
      <x:alignment horizontal="center" vertical="top"/>
    </x:xf>
    <x:xf numFmtId="49" fontId="43" fillId="23" borderId="59" xfId="0" applyNumberFormat="1" applyFont="1" applyFill="1" applyBorder="1" applyAlignment="1">
      <x:alignment horizontal="center" vertical="top"/>
    </x:xf>
    <x:xf numFmtId="49" fontId="43" fillId="23" borderId="59" xfId="0" applyNumberFormat="1" applyFont="1" applyFill="1" applyBorder="1" applyAlignment="1">
      <x:alignment vertical="top" wrapText="1"/>
    </x:xf>
    <x:xf numFmtId="0" fontId="43" fillId="23" borderId="59" xfId="0" applyNumberFormat="1" applyFont="1" applyFill="1" applyBorder="1" applyAlignment="1">
      <x:alignment vertical="top" wrapText="1"/>
    </x:xf>
    <x:xf numFmtId="3" fontId="43" fillId="23" borderId="59" xfId="0" applyNumberFormat="1" applyFont="1" applyFill="1" applyBorder="1" applyAlignment="1">
      <x:alignment horizontal="right" vertical="top"/>
    </x:xf>
    <x:xf numFmtId="165" fontId="43" fillId="23" borderId="59" xfId="0" applyNumberFormat="1" applyFont="1" applyFill="1" applyBorder="1" applyAlignment="1">
      <x:alignment horizontal="right" vertical="top"/>
    </x:xf>
    <x:xf numFmtId="167" fontId="43" fillId="23" borderId="59" xfId="0" applyNumberFormat="1" applyFont="1" applyFill="1" applyBorder="1" applyAlignment="1">
      <x:alignment horizontal="right" vertical="top"/>
    </x:xf>
    <x:xf numFmtId="49" fontId="43" fillId="23" borderId="60" xfId="0" applyNumberFormat="1" applyFont="1" applyFill="1" applyBorder="1" applyAlignment="1">
      <x:alignment vertical="top" wrapText="1"/>
    </x:xf>
    <x:xf numFmtId="0" fontId="38" fillId="23" borderId="61" xfId="0" applyNumberFormat="1" applyFont="1" applyFill="1" applyBorder="1"/>
    <x:xf numFmtId="168" fontId="43" fillId="23" borderId="62" xfId="0" applyNumberFormat="1" applyFont="1" applyFill="1" applyBorder="1" applyAlignment="1">
      <x:alignment horizontal="center" vertical="top"/>
    </x:xf>
    <x:xf numFmtId="168" fontId="43" fillId="23" borderId="63" xfId="0" applyNumberFormat="1" applyFont="1" applyFill="1" applyBorder="1" applyAlignment="1">
      <x:alignment horizontal="center" vertical="top"/>
    </x:xf>
    <x:xf numFmtId="49" fontId="43" fillId="23" borderId="63" xfId="0" applyNumberFormat="1" applyFont="1" applyFill="1" applyBorder="1" applyAlignment="1">
      <x:alignment horizontal="center" vertical="top"/>
    </x:xf>
    <x:xf numFmtId="49" fontId="43" fillId="23" borderId="63" xfId="0" applyNumberFormat="1" applyFont="1" applyFill="1" applyBorder="1" applyAlignment="1">
      <x:alignment vertical="top" wrapText="1"/>
    </x:xf>
    <x:xf numFmtId="0" fontId="43" fillId="23" borderId="63" xfId="0" applyNumberFormat="1" applyFont="1" applyFill="1" applyBorder="1" applyAlignment="1">
      <x:alignment vertical="top" wrapText="1"/>
    </x:xf>
    <x:xf numFmtId="3" fontId="43" fillId="23" borderId="63" xfId="0" applyNumberFormat="1" applyFont="1" applyFill="1" applyBorder="1" applyAlignment="1">
      <x:alignment horizontal="right" vertical="top"/>
    </x:xf>
    <x:xf numFmtId="165" fontId="43" fillId="23" borderId="63" xfId="0" applyNumberFormat="1" applyFont="1" applyFill="1" applyBorder="1" applyAlignment="1">
      <x:alignment horizontal="right" vertical="top"/>
    </x:xf>
    <x:xf numFmtId="167" fontId="43" fillId="23" borderId="63" xfId="0" applyNumberFormat="1" applyFont="1" applyFill="1" applyBorder="1" applyAlignment="1">
      <x:alignment horizontal="right" vertical="top"/>
    </x:xf>
    <x:xf numFmtId="49" fontId="43" fillId="23" borderId="64" xfId="0" applyNumberFormat="1" applyFont="1" applyFill="1" applyBorder="1" applyAlignment="1">
      <x:alignment vertical="top" wrapText="1"/>
    </x:xf>
    <x:xf numFmtId="0" fontId="38" fillId="23" borderId="65" xfId="0" applyNumberFormat="1" applyFont="1" applyFill="1" applyBorder="1"/>
    <x:xf numFmtId="0" fontId="38" fillId="23" borderId="66" xfId="0" applyNumberFormat="1" applyFont="1" applyFill="1" applyBorder="1"/>
    <x:xf numFmtId="0" fontId="38" fillId="23" borderId="67" xfId="0" applyNumberFormat="1" applyFont="1" applyFill="1" applyBorder="1"/>
    <x:xf numFmtId="49" fontId="63" fillId="23" borderId="51" xfId="0" applyNumberFormat="1" applyFont="1" applyFill="1" applyBorder="1" applyAlignment="1">
      <x:alignment horizontal="left" vertical="center"/>
    </x:xf>
    <x:xf numFmtId="0" fontId="63" fillId="23" borderId="52" xfId="0" applyNumberFormat="1" applyFont="1" applyFill="1" applyBorder="1" applyAlignment="1">
      <x:alignment horizontal="left" vertical="center"/>
    </x:xf>
    <x:xf numFmtId="0" fontId="61" fillId="23" borderId="53" xfId="0" applyNumberFormat="1" applyFont="1" applyFill="1" applyBorder="1"/>
    <x:xf numFmtId="0" fontId="61" fillId="23" borderId="0" xfId="0" applyNumberFormat="1" applyFont="1" applyFill="1" applyBorder="1"/>
    <x:xf numFmtId="49" fontId="64" fillId="23" borderId="54" xfId="0" applyNumberFormat="1" applyFont="1" applyFill="1" applyBorder="1" applyAlignment="1">
      <x:alignment horizontal="left" vertical="center" wrapText="1"/>
    </x:xf>
    <x:xf numFmtId="0" fontId="64" fillId="23" borderId="0" xfId="0" applyNumberFormat="1" applyFont="1" applyFill="1" applyBorder="1" applyAlignment="1">
      <x:alignment horizontal="left" vertical="center" wrapText="1"/>
    </x:xf>
    <x:xf numFmtId="0" fontId="61" fillId="23" borderId="55" xfId="0" applyNumberFormat="1" applyFont="1" applyFill="1" applyBorder="1"/>
    <x:xf numFmtId="49" fontId="63" fillId="23" borderId="56" xfId="0" applyNumberFormat="1" applyFont="1" applyFill="1" applyBorder="1" applyAlignment="1">
      <x:alignment horizontal="center" vertical="center" wrapText="1"/>
    </x:xf>
    <x:xf numFmtId="0" fontId="61" fillId="23" borderId="57" xfId="0" applyNumberFormat="1" applyFont="1" applyFill="1" applyBorder="1"/>
    <x:xf numFmtId="168" fontId="60" fillId="23" borderId="58" xfId="0" applyNumberFormat="1" applyFont="1" applyFill="1" applyBorder="1" applyAlignment="1">
      <x:alignment horizontal="center" vertical="top"/>
    </x:xf>
    <x:xf numFmtId="168" fontId="60" fillId="23" borderId="59" xfId="0" applyNumberFormat="1" applyFont="1" applyFill="1" applyBorder="1" applyAlignment="1">
      <x:alignment horizontal="center" vertical="top"/>
    </x:xf>
    <x:xf numFmtId="49" fontId="60" fillId="23" borderId="59" xfId="0" applyNumberFormat="1" applyFont="1" applyFill="1" applyBorder="1" applyAlignment="1">
      <x:alignment horizontal="center" vertical="top"/>
    </x:xf>
    <x:xf numFmtId="49" fontId="60" fillId="23" borderId="59" xfId="0" applyNumberFormat="1" applyFont="1" applyFill="1" applyBorder="1" applyAlignment="1">
      <x:alignment vertical="top" wrapText="1"/>
    </x:xf>
    <x:xf numFmtId="0" fontId="60" fillId="23" borderId="59" xfId="0" applyNumberFormat="1" applyFont="1" applyFill="1" applyBorder="1" applyAlignment="1">
      <x:alignment vertical="top" wrapText="1"/>
    </x:xf>
    <x:xf numFmtId="3" fontId="60" fillId="23" borderId="59" xfId="0" applyNumberFormat="1" applyFont="1" applyFill="1" applyBorder="1" applyAlignment="1">
      <x:alignment horizontal="right" vertical="top"/>
    </x:xf>
    <x:xf numFmtId="165" fontId="60" fillId="23" borderId="59" xfId="0" applyNumberFormat="1" applyFont="1" applyFill="1" applyBorder="1" applyAlignment="1">
      <x:alignment horizontal="right" vertical="top"/>
    </x:xf>
    <x:xf numFmtId="167" fontId="60" fillId="23" borderId="59" xfId="0" applyNumberFormat="1" applyFont="1" applyFill="1" applyBorder="1" applyAlignment="1">
      <x:alignment horizontal="right" vertical="top"/>
    </x:xf>
    <x:xf numFmtId="49" fontId="60" fillId="23" borderId="60" xfId="0" applyNumberFormat="1" applyFont="1" applyFill="1" applyBorder="1" applyAlignment="1">
      <x:alignment vertical="top" wrapText="1"/>
    </x:xf>
    <x:xf numFmtId="0" fontId="61" fillId="23" borderId="61" xfId="0" applyNumberFormat="1" applyFont="1" applyFill="1" applyBorder="1"/>
    <x:xf numFmtId="168" fontId="60" fillId="23" borderId="62" xfId="0" applyNumberFormat="1" applyFont="1" applyFill="1" applyBorder="1" applyAlignment="1">
      <x:alignment horizontal="center" vertical="top"/>
    </x:xf>
    <x:xf numFmtId="168" fontId="60" fillId="23" borderId="63" xfId="0" applyNumberFormat="1" applyFont="1" applyFill="1" applyBorder="1" applyAlignment="1">
      <x:alignment horizontal="center" vertical="top"/>
    </x:xf>
    <x:xf numFmtId="49" fontId="60" fillId="23" borderId="63" xfId="0" applyNumberFormat="1" applyFont="1" applyFill="1" applyBorder="1" applyAlignment="1">
      <x:alignment horizontal="center" vertical="top"/>
    </x:xf>
    <x:xf numFmtId="49" fontId="60" fillId="23" borderId="63" xfId="0" applyNumberFormat="1" applyFont="1" applyFill="1" applyBorder="1" applyAlignment="1">
      <x:alignment vertical="top" wrapText="1"/>
    </x:xf>
    <x:xf numFmtId="0" fontId="60" fillId="23" borderId="63" xfId="0" applyNumberFormat="1" applyFont="1" applyFill="1" applyBorder="1" applyAlignment="1">
      <x:alignment vertical="top" wrapText="1"/>
    </x:xf>
    <x:xf numFmtId="3" fontId="60" fillId="23" borderId="63" xfId="0" applyNumberFormat="1" applyFont="1" applyFill="1" applyBorder="1" applyAlignment="1">
      <x:alignment horizontal="right" vertical="top"/>
    </x:xf>
    <x:xf numFmtId="165" fontId="60" fillId="23" borderId="63" xfId="0" applyNumberFormat="1" applyFont="1" applyFill="1" applyBorder="1" applyAlignment="1">
      <x:alignment horizontal="right" vertical="top"/>
    </x:xf>
    <x:xf numFmtId="167" fontId="60" fillId="23" borderId="63" xfId="0" applyNumberFormat="1" applyFont="1" applyFill="1" applyBorder="1" applyAlignment="1">
      <x:alignment horizontal="right" vertical="top"/>
    </x:xf>
    <x:xf numFmtId="49" fontId="60" fillId="23" borderId="64" xfId="0" applyNumberFormat="1" applyFont="1" applyFill="1" applyBorder="1" applyAlignment="1">
      <x:alignment vertical="top" wrapText="1"/>
    </x:xf>
    <x:xf numFmtId="0" fontId="61" fillId="23" borderId="65" xfId="0" applyNumberFormat="1" applyFont="1" applyFill="1" applyBorder="1"/>
    <x:xf numFmtId="0" fontId="61" fillId="23" borderId="66" xfId="0" applyNumberFormat="1" applyFont="1" applyFill="1" applyBorder="1"/>
    <x:xf numFmtId="0" fontId="61" fillId="23" borderId="67" xfId="0" applyNumberFormat="1" applyFont="1" applyFill="1" applyBorder="1"/>
    <x:xf numFmtId="49" fontId="63" fillId="23" borderId="124" xfId="0" applyNumberFormat="1" applyFont="1" applyFill="1" applyBorder="1" applyAlignment="1">
      <x:alignment horizontal="left" vertical="center"/>
    </x:xf>
    <x:xf numFmtId="0" fontId="63" fillId="23" borderId="125" xfId="0" applyNumberFormat="1" applyFont="1" applyFill="1" applyBorder="1" applyAlignment="1">
      <x:alignment horizontal="left" vertical="center"/>
    </x:xf>
    <x:xf numFmtId="0" fontId="61" fillId="23" borderId="125" xfId="0" applyNumberFormat="1" applyFont="1" applyFill="1" applyBorder="1"/>
    <x:xf numFmtId="0" fontId="61" fillId="23" borderId="126" xfId="0" applyNumberFormat="1" applyFont="1" applyFill="1" applyBorder="1"/>
    <x:xf numFmtId="49" fontId="64" fillId="23" borderId="127" xfId="0" applyNumberFormat="1" applyFont="1" applyFill="1" applyBorder="1" applyAlignment="1">
      <x:alignment horizontal="left" vertical="center" wrapText="1"/>
    </x:xf>
    <x:xf numFmtId="0" fontId="64" fillId="23" borderId="76" xfId="0" applyNumberFormat="1" applyFont="1" applyFill="1" applyBorder="1" applyAlignment="1">
      <x:alignment horizontal="left" vertical="center" wrapText="1"/>
    </x:xf>
    <x:xf numFmtId="49" fontId="63" fillId="23" borderId="127" xfId="0" applyNumberFormat="1" applyFont="1" applyFill="1" applyBorder="1" applyAlignment="1">
      <x:alignment horizontal="center" vertical="center" wrapText="1"/>
    </x:xf>
    <x:xf numFmtId="168" fontId="60" fillId="23" borderId="127" xfId="0" applyNumberFormat="1" applyFont="1" applyFill="1" applyBorder="1" applyAlignment="1">
      <x:alignment horizontal="center" vertical="top"/>
    </x:xf>
    <x:xf numFmtId="168" fontId="60" fillId="23" borderId="76" xfId="0" applyNumberFormat="1" applyFont="1" applyFill="1" applyBorder="1" applyAlignment="1">
      <x:alignment horizontal="center" vertical="top"/>
    </x:xf>
    <x:xf numFmtId="49" fontId="60" fillId="23" borderId="76" xfId="0" applyNumberFormat="1" applyFont="1" applyFill="1" applyBorder="1" applyAlignment="1">
      <x:alignment horizontal="center" vertical="top"/>
    </x:xf>
    <x:xf numFmtId="49" fontId="60" fillId="23" borderId="76" xfId="0" applyNumberFormat="1" applyFont="1" applyFill="1" applyBorder="1" applyAlignment="1">
      <x:alignment vertical="top" wrapText="1"/>
    </x:xf>
    <x:xf numFmtId="3" fontId="60" fillId="23" borderId="76" xfId="0" applyNumberFormat="1" applyFont="1" applyFill="1" applyBorder="1" applyAlignment="1">
      <x:alignment horizontal="right" vertical="top"/>
    </x:xf>
    <x:xf numFmtId="165" fontId="60" fillId="23" borderId="76" xfId="0" applyNumberFormat="1" applyFont="1" applyFill="1" applyBorder="1" applyAlignment="1">
      <x:alignment horizontal="right" vertical="top"/>
    </x:xf>
    <x:xf numFmtId="167" fontId="60" fillId="23" borderId="76" xfId="0" applyNumberFormat="1" applyFont="1" applyFill="1" applyBorder="1" applyAlignment="1">
      <x:alignment horizontal="right" vertical="top"/>
    </x:xf>
    <x:xf numFmtId="0" fontId="61" fillId="23" borderId="127" xfId="0" applyNumberFormat="1" applyFont="1" applyFill="1" applyBorder="1"/>
    <x:xf numFmtId="0" fontId="61" fillId="23" borderId="128" xfId="0" applyNumberFormat="1" applyFont="1" applyFill="1" applyBorder="1"/>
    <x:xf numFmtId="49" fontId="63" fillId="23" borderId="124" xfId="0" applyNumberFormat="1" applyFont="1" applyFill="1" applyBorder="1" applyAlignment="1">
      <x:alignment horizontal="left" vertical="center" wrapText="0"/>
    </x:xf>
    <x:xf numFmtId="0" fontId="63" fillId="23" borderId="125" xfId="0" applyNumberFormat="1" applyFont="1" applyFill="1" applyBorder="1" applyAlignment="1">
      <x:alignment horizontal="left" vertical="center" wrapText="0"/>
    </x:xf>
    <x:xf numFmtId="0" fontId="61" fillId="23" borderId="125" xfId="0" applyNumberFormat="1" applyFont="1" applyFill="1" applyBorder="1" applyAlignment="1">
      <x:alignment wrapText="0"/>
    </x:xf>
    <x:xf numFmtId="0" fontId="61" fillId="23" borderId="126" xfId="0" applyNumberFormat="1" applyFont="1" applyFill="1" applyBorder="1" applyAlignment="1">
      <x:alignment wrapText="0"/>
    </x:xf>
    <x:xf numFmtId="49" fontId="64" fillId="23" borderId="127" xfId="0" applyNumberFormat="1" applyFont="1" applyFill="1" applyBorder="1" applyAlignment="1">
      <x:alignment horizontal="left" vertical="center" wrapText="0"/>
    </x:xf>
    <x:xf numFmtId="0" fontId="64" fillId="23" borderId="76" xfId="0" applyNumberFormat="1" applyFont="1" applyFill="1" applyBorder="1" applyAlignment="1">
      <x:alignment horizontal="left" vertical="center" wrapText="0"/>
    </x:xf>
    <x:xf numFmtId="49" fontId="63" fillId="23" borderId="127" xfId="0" applyNumberFormat="1" applyFont="1" applyFill="1" applyBorder="1" applyAlignment="1">
      <x:alignment horizontal="center" vertical="center" wrapText="0"/>
    </x:xf>
    <x:xf numFmtId="168" fontId="60" fillId="23" borderId="127" xfId="0" applyNumberFormat="1" applyFont="1" applyFill="1" applyBorder="1" applyAlignment="1">
      <x:alignment horizontal="center" vertical="top" wrapText="0"/>
    </x:xf>
    <x:xf numFmtId="168" fontId="60" fillId="23" borderId="76" xfId="0" applyNumberFormat="1" applyFont="1" applyFill="1" applyBorder="1" applyAlignment="1">
      <x:alignment horizontal="center" vertical="top" wrapText="0"/>
    </x:xf>
    <x:xf numFmtId="3" fontId="60" fillId="23" borderId="76" xfId="0" applyNumberFormat="1" applyFont="1" applyFill="1" applyBorder="1" applyAlignment="1">
      <x:alignment horizontal="right" vertical="top" wrapText="0"/>
    </x:xf>
    <x:xf numFmtId="165" fontId="60" fillId="23" borderId="76" xfId="0" applyNumberFormat="1" applyFont="1" applyFill="1" applyBorder="1" applyAlignment="1">
      <x:alignment horizontal="right" vertical="top" wrapText="0"/>
    </x:xf>
    <x:xf numFmtId="167" fontId="60" fillId="23" borderId="76" xfId="0" applyNumberFormat="1" applyFont="1" applyFill="1" applyBorder="1" applyAlignment="1">
      <x:alignment horizontal="right" vertical="top" wrapText="0"/>
    </x:xf>
    <x:xf numFmtId="0" fontId="61" fillId="23" borderId="127" xfId="0" applyNumberFormat="1" applyFont="1" applyFill="1" applyBorder="1" applyAlignment="1">
      <x:alignment wrapText="0"/>
    </x:xf>
    <x:xf numFmtId="0" fontId="61" fillId="23" borderId="128" xfId="0" applyNumberFormat="1" applyFont="1" applyFill="1" applyBorder="1" applyAlignment="1">
      <x:alignment wrapText="0"/>
    </x:xf>
    <x:xf numFmtId="49" fontId="63" fillId="23" borderId="124" xfId="0" applyNumberFormat="1" applyFont="1" applyFill="1" applyBorder="1" applyAlignment="1">
      <x:alignment horizontal="left" vertical="top" wrapText="0"/>
    </x:xf>
    <x:xf numFmtId="0" fontId="63" fillId="23" borderId="125" xfId="0" applyNumberFormat="1" applyFont="1" applyFill="1" applyBorder="1" applyAlignment="1">
      <x:alignment horizontal="left" vertical="top" wrapText="0"/>
    </x:xf>
    <x:xf numFmtId="0" fontId="61" fillId="23" borderId="125" xfId="0" applyNumberFormat="1" applyFont="1" applyFill="1" applyBorder="1" applyAlignment="1">
      <x:alignment vertical="top" wrapText="0"/>
    </x:xf>
    <x:xf numFmtId="0" fontId="61" fillId="23" borderId="126" xfId="0" applyNumberFormat="1" applyFont="1" applyFill="1" applyBorder="1" applyAlignment="1">
      <x:alignment vertical="top" wrapText="0"/>
    </x:xf>
    <x:xf numFmtId="49" fontId="64" fillId="23" borderId="127" xfId="0" applyNumberFormat="1" applyFont="1" applyFill="1" applyBorder="1" applyAlignment="1">
      <x:alignment horizontal="left" vertical="top" wrapText="0"/>
    </x:xf>
    <x:xf numFmtId="0" fontId="64" fillId="23" borderId="76" xfId="0" applyNumberFormat="1" applyFont="1" applyFill="1" applyBorder="1" applyAlignment="1">
      <x:alignment horizontal="left" vertical="top" wrapText="0"/>
    </x:xf>
    <x:xf numFmtId="49" fontId="63" fillId="23" borderId="127" xfId="0" applyNumberFormat="1" applyFont="1" applyFill="1" applyBorder="1" applyAlignment="1">
      <x:alignment horizontal="center" vertical="top" wrapText="0"/>
    </x:xf>
    <x:xf numFmtId="0" fontId="61" fillId="23" borderId="127" xfId="0" applyNumberFormat="1" applyFont="1" applyFill="1" applyBorder="1" applyAlignment="1">
      <x:alignment vertical="top" wrapText="0"/>
    </x:xf>
    <x:xf numFmtId="0" fontId="61" fillId="23" borderId="128" xfId="0" applyNumberFormat="1" applyFont="1" applyFill="1" applyBorder="1" applyAlignment="1">
      <x:alignment vertical="top" wrapText="0"/>
    </x:xf>
    <x:xf numFmtId="49" fontId="63" fillId="26" borderId="127" xfId="0" applyNumberFormat="1" applyFont="1" applyFill="1" applyBorder="1" applyAlignment="1">
      <x:alignment horizontal="center" vertical="top" wrapText="0"/>
    </x:xf>
    <x:xf numFmtId="49" fontId="74" fillId="26" borderId="127" xfId="0" applyNumberFormat="1" applyFont="1" applyFill="1" applyBorder="1" applyAlignment="1">
      <x:alignment horizontal="center" vertical="top" wrapText="0"/>
    </x:xf>
    <x:xf numFmtId="49" fontId="74" fillId="26" borderId="127" xfId="0" applyNumberFormat="1" applyFont="1" applyFill="1" applyBorder="1" applyAlignment="1">
      <x:alignment horizontal="center" vertical="top" wrapText="1"/>
    </x:xf>
    <x:xf numFmtId="49" fontId="74" fillId="26" borderId="127" xfId="0" applyNumberFormat="1" applyFont="1" applyFill="1" applyBorder="1" applyAlignment="1">
      <x:alignment horizontal="center" vertical="center" wrapText="1"/>
    </x:xf>
    <x:xf numFmtId="200" fontId="63" fillId="23" borderId="124" xfId="0" applyNumberFormat="1" applyFont="1" applyFill="1" applyBorder="1" applyAlignment="1">
      <x:alignment horizontal="left" vertical="top" wrapText="0"/>
    </x:xf>
    <x:xf numFmtId="200" fontId="63" fillId="23" borderId="125" xfId="0" applyNumberFormat="1" applyFont="1" applyFill="1" applyBorder="1" applyAlignment="1">
      <x:alignment horizontal="left" vertical="top" wrapText="0"/>
    </x:xf>
    <x:xf numFmtId="201" fontId="63" fillId="23" borderId="125" xfId="0" applyNumberFormat="1" applyFont="1" applyFill="1" applyBorder="1" applyAlignment="1">
      <x:alignment horizontal="left" vertical="top" wrapText="0"/>
    </x:xf>
    <x:xf numFmtId="167" fontId="63" fillId="23" borderId="125" xfId="0" applyNumberFormat="1" applyFont="1" applyFill="1" applyBorder="1" applyAlignment="1">
      <x:alignment horizontal="left" vertical="top" wrapText="0"/>
    </x:xf>
    <x:xf numFmtId="165" fontId="63" fillId="23" borderId="125" xfId="0" applyNumberFormat="1" applyFont="1" applyFill="1" applyBorder="1" applyAlignment="1">
      <x:alignment horizontal="left" vertical="top" wrapText="0"/>
    </x:xf>
    <x:xf numFmtId="0" fontId="31" fillId="23" borderId="0" xfId="0" applyNumberFormat="1" applyFont="1" applyFill="1" applyBorder="1" applyAlignment="1">
      <x:alignment vertical="center"/>
    </x:xf>
    <x:xf numFmtId="0" fontId="35" fillId="23" borderId="0" xfId="0" applyNumberFormat="1" applyFont="1" applyFill="1" applyBorder="1"/>
    <x:xf numFmtId="0" fontId="32" fillId="23" borderId="0" xfId="0" applyNumberFormat="1" applyFont="1" applyFill="1" applyBorder="1"/>
    <x:xf numFmtId="0" fontId="33" fillId="23" borderId="68" xfId="0" applyNumberFormat="1" applyFont="1" applyFill="1" applyBorder="1" applyAlignment="1">
      <x:alignment vertical="center" wrapText="1"/>
    </x:xf>
    <x:xf numFmtId="0" fontId="32" fillId="23" borderId="68" xfId="0" applyNumberFormat="1" applyFont="1" applyFill="1" applyBorder="1"/>
    <x:xf numFmtId="0" fontId="34" fillId="23" borderId="68" xfId="0" applyNumberFormat="1" applyFont="1" applyFill="1" applyBorder="1" applyAlignment="1">
      <x:alignment vertical="top" wrapText="1"/>
    </x:xf>
    <x:xf numFmtId="0" fontId="47" fillId="23" borderId="0" xfId="0" applyNumberFormat="1" applyFont="1" applyFill="1" applyBorder="1" applyAlignment="1">
      <x:alignment vertical="center"/>
    </x:xf>
    <x:xf numFmtId="0" fontId="47" fillId="23" borderId="68" xfId="0" applyNumberFormat="1" applyFont="1" applyFill="1" applyBorder="1" applyAlignment="1">
      <x:alignment vertical="center" wrapText="1"/>
    </x:xf>
    <x:xf numFmtId="0" fontId="47" fillId="23" borderId="0" xfId="0" applyNumberFormat="1" applyFont="1" applyFill="1" applyBorder="1" applyAlignment="1">
      <x:alignment vertical="center" wrapText="1"/>
    </x:xf>
    <x:xf numFmtId="0" fontId="47" fillId="23" borderId="93" xfId="0" applyNumberFormat="1" applyFont="1" applyFill="1" applyBorder="1" applyAlignment="1">
      <x:alignment vertical="top" wrapText="1"/>
    </x:xf>
    <x:xf numFmtId="0" fontId="47" fillId="23" borderId="129" xfId="0" applyNumberFormat="1" applyFont="1" applyFill="1" applyBorder="1" applyAlignment="1">
      <x:alignment vertical="top" wrapText="1"/>
    </x:xf>
    <x:xf numFmtId="0" fontId="47" fillId="23" borderId="95" xfId="0" applyNumberFormat="1" applyFont="1" applyFill="1" applyBorder="1" applyAlignment="1">
      <x:alignment vertical="top" wrapText="1"/>
    </x:xf>
    <x:xf numFmtId="0" fontId="47" fillId="24" borderId="93" xfId="0" applyNumberFormat="1" applyFont="1" applyFill="1" applyBorder="1" applyAlignment="1">
      <x:alignment vertical="top" wrapText="1"/>
    </x:xf>
    <x:xf numFmtId="0" fontId="49" fillId="24" borderId="93" xfId="0" applyNumberFormat="1" applyFont="1" applyFill="1" applyBorder="1" applyAlignment="1">
      <x:alignment vertical="top" wrapText="1"/>
    </x:xf>
    <x:xf numFmtId="0" fontId="49" fillId="24" borderId="93" xfId="0" applyNumberFormat="1" applyFont="1" applyFill="1" applyBorder="1" applyAlignment="1">
      <x:alignment vertical="center" wrapText="1"/>
    </x:xf>
    <x:xf numFmtId="0" fontId="47" fillId="25" borderId="95" xfId="0" applyNumberFormat="1" applyFont="1" applyFill="1" applyBorder="1" applyAlignment="1">
      <x:alignment vertical="top" wrapText="1"/>
    </x:xf>
    <x:xf numFmtId="0" fontId="50" fillId="25" borderId="95" xfId="0" applyNumberFormat="1" applyFont="1" applyFill="1" applyBorder="1" applyAlignment="1">
      <x:alignment vertical="top" wrapText="1"/>
    </x:xf>
    <x:xf numFmtId="0" fontId="0" fillId="0" borderId="0" xfId="0" applyNumberFormat="1" applyFont="1" applyFill="1" applyBorder="1"/>
    <x:xf numFmtId="0" fontId="0" fillId="0" borderId="1" xfId="0" applyNumberFormat="1" applyFont="1" applyFill="1" applyBorder="1"/>
    <x:xf numFmtId="0" fontId="0" fillId="0" borderId="4" xfId="0" applyNumberFormat="1" applyFont="1" applyFill="1" applyBorder="1"/>
    <x:xf numFmtId="0" fontId="0" fillId="0" borderId="5" xfId="0" applyNumberFormat="1" applyFont="1" applyFill="1" applyBorder="1"/>
    <x:xf numFmtId="49" fontId="0" fillId="0" borderId="2" xfId="0" applyNumberFormat="1" applyFont="1" applyFill="1" applyBorder="1"/>
    <x:xf numFmtId="49" fontId="1" fillId="0" borderId="2" xfId="0" applyNumberFormat="1" applyFont="1" applyFill="1" applyBorder="1"/>
    <x:xf numFmtId="0" fontId="0" fillId="0" borderId="14" xfId="0" applyNumberFormat="1" applyFont="1" applyFill="1" applyBorder="1"/>
    <x:xf numFmtId="0" fontId="0" fillId="0" borderId="18" xfId="0" applyNumberFormat="1" applyFont="1" applyFill="1" applyBorder="1"/>
    <x:xf numFmtId="0" fontId="8" fillId="2" borderId="21" xfId="0" applyNumberFormat="1" applyFont="1" applyFill="1" applyBorder="1" applyAlignment="1">
      <x:alignment vertical="top" wrapText="1"/>
    </x:xf>
    <x:xf numFmtId="0" fontId="0" fillId="0" borderId="23" xfId="0" applyNumberFormat="1" applyFont="1" applyFill="1" applyBorder="1"/>
    <x:xf numFmtId="0" fontId="8" fillId="7" borderId="25" xfId="0" applyNumberFormat="1" applyFont="1" applyFill="1" applyBorder="1" applyAlignment="1">
      <x:alignment vertical="top" wrapText="1"/>
    </x:xf>
    <x:xf numFmtId="0" fontId="8" fillId="7" borderId="28" xfId="0" applyNumberFormat="1" applyFont="1" applyFill="1" applyBorder="1" applyAlignment="1">
      <x:alignment vertical="top" wrapText="1"/>
    </x:xf>
    <x:xf numFmtId="0" fontId="8" fillId="2" borderId="29" xfId="0" applyNumberFormat="1" applyFont="1" applyFill="1" applyBorder="1" applyAlignment="1">
      <x:alignment vertical="top" wrapText="1"/>
    </x:xf>
    <x:xf numFmtId="0" fontId="8" fillId="7" borderId="30" xfId="0" applyNumberFormat="1" applyFont="1" applyFill="1" applyBorder="1" applyAlignment="1">
      <x:alignment vertical="top" wrapText="1"/>
    </x:xf>
    <x:xf numFmtId="0" fontId="8" fillId="7" borderId="31" xfId="0" applyNumberFormat="1" applyFont="1" applyFill="1" applyBorder="1" applyAlignment="1">
      <x:alignment vertical="top" wrapText="1"/>
    </x:xf>
    <x:xf numFmtId="0" fontId="8" fillId="2" borderId="32" xfId="0" applyNumberFormat="1" applyFont="1" applyFill="1" applyBorder="1" applyAlignment="1">
      <x:alignment vertical="top" wrapText="1"/>
    </x:xf>
    <x:xf numFmtId="0" fontId="8" fillId="2" borderId="5" xfId="0" applyNumberFormat="1" applyFont="1" applyFill="1" applyBorder="1" applyAlignment="1">
      <x:alignment vertical="top" wrapText="1"/>
    </x:xf>
    <x:xf numFmtId="0" fontId="8" fillId="2" borderId="23" xfId="0" applyNumberFormat="1" applyFont="1" applyFill="1" applyBorder="1" applyAlignment="1">
      <x:alignment vertical="top" wrapText="1"/>
    </x:xf>
    <x:xf numFmtId="0" fontId="8" fillId="2" borderId="2" xfId="0" applyNumberFormat="1" applyFont="1" applyFill="1" applyBorder="1" applyAlignment="1">
      <x:alignment vertical="top" wrapText="1"/>
    </x:xf>
    <x:xf numFmtId="0" fontId="12" fillId="9" borderId="3" xfId="0" applyNumberFormat="1" applyFont="1" applyFill="1" applyBorder="1" applyAlignment="1">
      <x:alignment horizontal="center" vertical="center"/>
    </x:xf>
    <x:xf numFmtId="0" fontId="15" fillId="5" borderId="3" xfId="0" applyNumberFormat="1" applyFont="1" applyFill="1" applyBorder="1" applyAlignment="1">
      <x:alignment horizontal="center" vertical="center"/>
    </x:xf>
    <x:xf numFmtId="0" fontId="0" fillId="0" borderId="40" xfId="0" applyNumberFormat="1" applyFont="1" applyFill="1" applyBorder="1"/>
    <x:xf numFmtId="0" fontId="17" fillId="2" borderId="2" xfId="0" applyNumberFormat="1" applyFont="1" applyFill="1" applyBorder="1" applyAlignment="1">
      <x:alignment wrapText="1"/>
    </x:xf>
    <x:xf numFmtId="0" fontId="18" fillId="2" borderId="1" xfId="0" applyNumberFormat="1" applyFont="1" applyFill="1" applyBorder="1" applyAlignment="1">
      <x:alignment vertical="center"/>
    </x:xf>
    <x:xf numFmtId="0" fontId="0" fillId="0" borderId="5" xfId="0" applyNumberFormat="1" applyFont="1" applyFill="1" applyBorder="1" applyAlignment="1">
      <x:alignment horizontal="center"/>
    </x:xf>
    <x:xf numFmtId="0" fontId="12" fillId="2" borderId="20" xfId="0" applyNumberFormat="1" applyFont="1" applyFill="1" applyBorder="1" applyAlignment="1">
      <x:alignment horizontal="center" vertical="center"/>
    </x:xf>
    <x:xf numFmtId="0" fontId="0" fillId="0" borderId="2" xfId="0" applyNumberFormat="1" applyFont="1" applyFill="1" applyBorder="1" applyAlignment="1">
      <x:alignment horizontal="center"/>
    </x:xf>
    <x:xf numFmtId="0" fontId="12" fillId="2" borderId="2" xfId="0" applyNumberFormat="1" applyFont="1" applyFill="1" applyBorder="1" applyAlignment="1">
      <x:alignment horizontal="center" vertical="center"/>
    </x:xf>
    <x:xf numFmtId="0" fontId="17" fillId="2" borderId="2" xfId="0" applyNumberFormat="1" applyFont="1" applyFill="1" applyBorder="1" applyAlignment="1">
      <x:alignment vertical="center"/>
    </x:xf>
    <x:xf numFmtId="0" fontId="0" fillId="0" borderId="1" xfId="0" applyNumberFormat="1" applyFont="1" applyFill="1" applyBorder="1" applyAlignment="1">
      <x:alignment horizontal="center"/>
    </x:xf>
    <x:xf numFmtId="0" fontId="19" fillId="3" borderId="7" xfId="0" applyNumberFormat="1" applyFont="1" applyFill="1" applyBorder="1" applyAlignment="1">
      <x:alignment horizontal="center"/>
    </x:xf>
    <x:xf numFmtId="0" fontId="19" fillId="3" borderId="7" xfId="0" applyNumberFormat="1" applyFont="1" applyFill="1" applyBorder="1"/>
    <x:xf numFmtId="49" fontId="20" fillId="3" borderId="7" xfId="0" applyNumberFormat="1" applyFont="1" applyFill="1" applyBorder="1"/>
    <x:xf numFmtId="49" fontId="0" fillId="0" borderId="42" xfId="0" applyNumberFormat="1" applyFont="1" applyFill="1" applyBorder="1"/>
    <x:xf numFmtId="0" fontId="12" fillId="0" borderId="42" xfId="0" applyNumberFormat="1" applyFont="1" applyFill="1" applyBorder="1"/>
    <x:xf numFmtId="0" fontId="12" fillId="0" borderId="20" xfId="0" applyNumberFormat="1" applyFont="1" applyFill="1" applyBorder="1"/>
    <x:xf numFmtId="0" fontId="12" fillId="0" borderId="4" xfId="0" applyNumberFormat="1" applyFont="1" applyFill="1" applyBorder="1"/>
    <x:xf numFmtId="0" fontId="12" fillId="0" borderId="1" xfId="0" applyNumberFormat="1" applyFont="1" applyFill="1" applyBorder="1"/>
    <x:xf numFmtId="0" fontId="12" fillId="0" borderId="44" xfId="0" applyNumberFormat="1" applyFont="1" applyFill="1" applyBorder="1"/>
    <x:xf numFmtId="0" fontId="12" fillId="0" borderId="5" xfId="0" applyNumberFormat="1" applyFont="1" applyFill="1" applyBorder="1"/>
    <x:xf numFmtId="0" fontId="23" fillId="2" borderId="5" xfId="0" applyNumberFormat="1" applyFont="1" applyFill="1" applyBorder="1" applyAlignment="1">
      <x:alignment vertical="center" wrapText="1"/>
    </x:xf>
    <x:xf numFmtId="0" fontId="12" fillId="0" borderId="2" xfId="0" applyNumberFormat="1" applyFont="1" applyFill="1" applyBorder="1"/>
    <x:xf numFmtId="0" fontId="25" fillId="2" borderId="2" xfId="0" applyNumberFormat="1" applyFont="1" applyFill="1" applyBorder="1" applyAlignment="1">
      <x:alignment vertical="center"/>
    </x:xf>
    <x:xf numFmtId="0" fontId="26" fillId="2" borderId="1" xfId="0" applyNumberFormat="1" applyFont="1" applyFill="1" applyBorder="1" applyAlignment="1">
      <x:alignment vertical="center"/>
    </x:xf>
    <x:xf numFmtId="0" fontId="16" fillId="2" borderId="2" xfId="0" applyNumberFormat="1" applyFont="1" applyFill="1" applyBorder="1" applyAlignment="1">
      <x:alignment vertical="center"/>
    </x:xf>
    <x:xf numFmtId="0" fontId="26" fillId="2" borderId="2" xfId="0" applyNumberFormat="1" applyFont="1" applyFill="1" applyBorder="1" applyAlignment="1">
      <x:alignment vertical="center" wrapText="1"/>
    </x:xf>
    <x:xf numFmtId="0" fontId="16" fillId="2" borderId="1" xfId="0" applyNumberFormat="1" applyFont="1" applyFill="1" applyBorder="1" applyAlignment="1">
      <x:alignment vertical="center"/>
    </x:xf>
    <x:xf numFmtId="0" fontId="16" fillId="0" borderId="45" xfId="0" applyNumberFormat="1" applyFont="1" applyFill="1" applyBorder="1"/>
    <x:xf numFmtId="0" fontId="12" fillId="0" borderId="45" xfId="0" applyNumberFormat="1" applyFont="1" applyFill="1" applyBorder="1"/>
    <x:xf numFmtId="0" fontId="0" fillId="0" borderId="45" xfId="0" applyNumberFormat="1" applyFont="1" applyFill="1" applyBorder="1"/>
    <x:xf numFmtId="0" fontId="12" fillId="3" borderId="0" xfId="0" applyNumberFormat="1" applyFont="1" applyFill="1" applyBorder="1" applyAlignment="1">
      <x:alignment horizontal="center"/>
    </x:xf>
    <x:xf numFmtId="0" fontId="12" fillId="3" borderId="0" xfId="0" applyNumberFormat="1" applyFont="1" applyFill="1" applyBorder="1"/>
    <x:xf numFmtId="49" fontId="20" fillId="3" borderId="0" xfId="0" applyNumberFormat="1" applyFont="1" applyFill="1" applyBorder="1"/>
    <x:xf numFmtId="0" fontId="12" fillId="3" borderId="47" xfId="0" applyNumberFormat="1" applyFont="1" applyFill="1" applyBorder="1"/>
    <x:xf numFmtId="0" fontId="14" fillId="2" borderId="42" xfId="0" applyNumberFormat="1" applyFont="1" applyFill="1" applyBorder="1" applyAlignment="1">
      <x:alignment vertical="center"/>
    </x:xf>
    <x:xf numFmtId="0" fontId="12" fillId="0" borderId="48" xfId="0" applyNumberFormat="1" applyFont="1" applyFill="1" applyBorder="1"/>
    <x:xf numFmtId="0" fontId="26" fillId="2" borderId="2" xfId="0" applyNumberFormat="1" applyFont="1" applyFill="1" applyBorder="1" applyAlignment="1">
      <x:alignment vertical="center"/>
    </x:xf>
    <x:xf numFmtId="0" fontId="12" fillId="0" borderId="2" xfId="0" applyNumberFormat="1" applyFont="1" applyFill="1" applyBorder="1" applyAlignment="1">
      <x:alignment horizontal="center"/>
    </x:xf>
    <x:xf numFmtId="0" fontId="12" fillId="0" borderId="1" xfId="0" applyNumberFormat="1" applyFont="1" applyFill="1" applyBorder="1" applyAlignment="1">
      <x:alignment horizontal="center"/>
    </x:xf>
    <x:xf numFmtId="0" fontId="26" fillId="0" borderId="5" xfId="0" applyNumberFormat="1" applyFont="1" applyFill="1" applyBorder="1"/>
    <x:xf numFmtId="0" fontId="23" fillId="2" borderId="4" xfId="0" applyNumberFormat="1" applyFont="1" applyFill="1" applyBorder="1" applyAlignment="1">
      <x:alignment vertical="center" wrapText="1"/>
    </x:xf>
    <x:xf numFmtId="49" fontId="16" fillId="0" borderId="5" xfId="0" applyNumberFormat="1" applyFont="1" applyFill="1" applyBorder="1"/>
    <x:xf numFmtId="49" fontId="16" fillId="0" borderId="2" xfId="0" applyNumberFormat="1" applyFont="1" applyFill="1" applyBorder="1"/>
    <x:xf numFmtId="49" fontId="0" fillId="0" borderId="14" xfId="0" applyNumberFormat="1" applyFont="1" applyFill="1" applyBorder="1"/>
    <x:xf numFmtId="0" fontId="0" fillId="2" borderId="18" xfId="0" applyNumberFormat="1" applyFont="1" applyFill="1" applyBorder="1"/>
    <x:xf numFmtId="9" fontId="27" fillId="0" borderId="4" xfId="0" applyNumberFormat="1" applyFont="1" applyFill="1" applyBorder="1"/>
    <x:xf numFmtId="0" fontId="29" fillId="2" borderId="4" xfId="0" applyNumberFormat="1" applyFont="1" applyFill="1" applyBorder="1" applyAlignment="1">
      <x:alignment vertical="top" wrapText="1"/>
    </x:xf>
    <x:xf numFmtId="0" fontId="30" fillId="0" borderId="4" xfId="0" applyNumberFormat="1" applyFont="1" applyFill="1" applyBorder="1"/>
    <x:xf numFmtId="0" fontId="12" fillId="0" borderId="49" xfId="0" applyNumberFormat="1" applyFont="1" applyFill="1" applyBorder="1"/>
    <x:xf numFmtId="0" fontId="27" fillId="0" borderId="2" xfId="0" applyNumberFormat="1" applyFont="1" applyFill="1" applyBorder="1"/>
    <x:xf numFmtId="9" fontId="12" fillId="0" borderId="4" xfId="0" applyNumberFormat="1" applyFont="1" applyFill="1" applyBorder="1"/>
    <x:xf numFmtId="2" fontId="27" fillId="0" borderId="2" xfId="0" applyNumberFormat="1" applyFont="1" applyFill="1" applyBorder="1"/>
    <x:xf numFmtId="0" fontId="16" fillId="0" borderId="2" xfId="0" applyNumberFormat="1" applyFont="1" applyFill="1" applyBorder="1"/>
    <x:xf numFmtId="0" fontId="16" fillId="0" borderId="1" xfId="0" applyNumberFormat="1" applyFont="1" applyFill="1" applyBorder="1"/>
    <x:xf numFmtId="0" fontId="27" fillId="0" borderId="4" xfId="0" applyNumberFormat="1" applyFont="1" applyFill="1" applyBorder="1"/>
    <x:xf numFmtId="0" fontId="17" fillId="2" borderId="1" xfId="0" applyNumberFormat="1" applyFont="1" applyFill="1" applyBorder="1" applyAlignment="1">
      <x:alignment vertical="center"/>
    </x:xf>
    <x:xf numFmtId="0" fontId="30" fillId="0" borderId="2" xfId="0" applyNumberFormat="1" applyFont="1" applyFill="1" applyBorder="1"/>
    <x:xf numFmtId="49" fontId="12" fillId="0" borderId="5" xfId="0" applyNumberFormat="1" applyFont="1" applyFill="1" applyBorder="1"/>
    <x:xf numFmtId="0" fontId="12" fillId="0" borderId="5" xfId="0" applyNumberFormat="1" applyFont="1" applyFill="1" applyBorder="1" applyAlignment="1">
      <x:alignment horizontal="center"/>
    </x:xf>
    <x:xf numFmtId="0" fontId="0" fillId="0" borderId="50" xfId="0" applyNumberFormat="1" applyFont="1" applyFill="1" applyBorder="1"/>
    <x:xf numFmtId="0" fontId="0" fillId="0" borderId="8" xfId="0" applyNumberFormat="1" applyFont="1" applyFill="1" applyBorder="1"/>
    <x:xf numFmtId="0" fontId="0" fillId="0" borderId="2" xfId="0" applyNumberFormat="1" applyFont="1" applyFill="1" applyBorder="1"/>
    <x:xf numFmtId="0" fontId="0" fillId="0" borderId="20" xfId="0" applyNumberFormat="1" applyFont="1" applyFill="1" applyBorder="1"/>
    <x:xf numFmtId="0" fontId="21" fillId="9" borderId="43" xfId="0" applyNumberFormat="1" applyFont="1" applyFill="1" applyBorder="1" applyAlignment="1">
      <x:alignment horizontal="center" vertical="center"/>
    </x:xf>
    <x:xf numFmtId="0" fontId="2" fillId="3" borderId="7" xfId="0" applyNumberFormat="1" applyFont="1" applyFill="1" applyBorder="1" applyAlignment="1">
      <x:alignment horizontal="left"/>
    </x:xf>
    <x:xf numFmtId="0" fontId="3" fillId="4" borderId="10" xfId="0" applyNumberFormat="1" applyFont="1" applyFill="1" applyBorder="1" applyAlignment="1">
      <x:alignment wrapText="1"/>
    </x:xf>
    <x:xf numFmtId="0" fontId="2" fillId="3" borderId="7" xfId="0" applyNumberFormat="1" applyFont="1" applyFill="1" applyBorder="1" applyAlignment="1">
      <x:alignment horizontal="left" vertical="center"/>
    </x:xf>
    <x:xf numFmtId="0" fontId="3" fillId="4" borderId="10" xfId="0" applyNumberFormat="1" applyFont="1" applyFill="1" applyBorder="1" applyAlignment="1">
      <x:alignment horizontal="left" vertical="center" wrapText="1"/>
    </x:xf>
    <x:xf numFmtId="0" fontId="0" fillId="0" borderId="34" xfId="0" applyNumberFormat="1" applyFont="1" applyFill="1" applyBorder="1"/>
    <x:xf numFmtId="0" fontId="0" fillId="0" borderId="21" xfId="0" applyNumberFormat="1" applyFont="1" applyFill="1" applyBorder="1"/>
    <x:xf numFmtId="0" fontId="10" fillId="5" borderId="38" xfId="0" applyNumberFormat="1" applyFont="1" applyFill="1" applyBorder="1" applyAlignment="1">
      <x:alignment horizontal="left" vertical="center"/>
    </x:xf>
    <x:xf numFmtId="0" fontId="10" fillId="5" borderId="39" xfId="0" applyNumberFormat="1" applyFont="1" applyFill="1" applyBorder="1" applyAlignment="1">
      <x:alignment horizontal="left" vertical="center"/>
    </x:xf>
    <x:xf numFmtId="0" fontId="1" fillId="5" borderId="37" xfId="0" applyNumberFormat="1" applyFont="1" applyFill="1" applyBorder="1" applyAlignment="1">
      <x:alignment horizontal="left" vertical="center"/>
    </x:xf>
    <x:xf numFmtId="0" fontId="1" fillId="5" borderId="38" xfId="0" applyNumberFormat="1" applyFont="1" applyFill="1" applyBorder="1" applyAlignment="1">
      <x:alignment horizontal="left" vertical="center"/>
    </x:xf>
    <x:xf numFmtId="0" fontId="1" fillId="5" borderId="39" xfId="0" applyNumberFormat="1" applyFont="1" applyFill="1" applyBorder="1" applyAlignment="1">
      <x:alignment horizontal="left" vertical="center"/>
    </x:xf>
    <x:xf numFmtId="0" fontId="15" fillId="9" borderId="38" xfId="0" applyNumberFormat="1" applyFont="1" applyFill="1" applyBorder="1" applyAlignment="1">
      <x:alignment horizontal="center" vertical="center" wrapText="1"/>
    </x:xf>
    <x:xf numFmtId="0" fontId="15" fillId="9" borderId="39" xfId="0" applyNumberFormat="1" applyFont="1" applyFill="1" applyBorder="1" applyAlignment="1">
      <x:alignment horizontal="center" vertical="center" wrapText="1"/>
    </x:xf>
    <x:xf numFmtId="0" fontId="35" fillId="20" borderId="0" xfId="0" applyNumberFormat="1" applyFont="1" applyFill="1" applyBorder="1"/>
    <x:xf numFmtId="0" fontId="36" fillId="20" borderId="0" xfId="0" applyNumberFormat="1" applyFont="1" applyFill="1" applyBorder="1"/>
    <x:xf numFmtId="0" fontId="31" fillId="19" borderId="0" xfId="0" applyNumberFormat="1" applyFont="1" applyFill="1" applyBorder="1" applyAlignment="1">
      <x:alignment vertical="center"/>
    </x:xf>
    <x:xf numFmtId="0" fontId="0" fillId="19" borderId="0" xfId="0" applyNumberFormat="1" applyFont="1" applyFill="1" applyBorder="1"/>
    <x:xf numFmtId="0" fontId="1" fillId="0" borderId="0" xfId="0" applyNumberFormat="1" applyFont="1" applyFill="1" applyBorder="1"/>
    <x:xf numFmtId="0" fontId="0" fillId="0" borderId="0" xfId="0" applyNumberFormat="1" applyFont="1" applyFill="1" applyBorder="1" applyAlignment="1">
      <x:alignment wrapText="1"/>
    </x:xf>
    <x:xf numFmtId="0" fontId="37" fillId="0" borderId="0" xfId="0" applyNumberFormat="1" applyFont="1" applyFill="1" applyBorder="1"/>
    <x:xf numFmtId="0" fontId="38" fillId="0" borderId="0" xfId="0" applyNumberFormat="1" applyFont="1" applyFill="1" applyBorder="1"/>
    <x:xf numFmtId="0" fontId="38" fillId="19" borderId="0" xfId="0" applyNumberFormat="1" applyFont="1" applyFill="1" applyBorder="1"/>
    <x:xf numFmtId="0" fontId="38" fillId="19" borderId="57" xfId="0" applyNumberFormat="1" applyFont="1" applyFill="1" applyBorder="1"/>
    <x:xf numFmtId="0" fontId="0" fillId="0" borderId="68" xfId="0" applyNumberFormat="1" applyFont="1" applyFill="1" applyBorder="1"/>
    <x:xf numFmtId="0" fontId="39" fillId="2" borderId="52" xfId="0" applyNumberFormat="1" applyFont="1" applyFill="1" applyBorder="1" applyAlignment="1">
      <x:alignment horizontal="left" vertical="center"/>
    </x:xf>
    <x:xf numFmtId="0" fontId="38" fillId="0" borderId="53" xfId="0" applyNumberFormat="1" applyFont="1" applyFill="1" applyBorder="1"/>
    <x:xf numFmtId="0" fontId="41" fillId="4" borderId="0" xfId="0" applyNumberFormat="1" applyFont="1" applyFill="1" applyBorder="1" applyAlignment="1">
      <x:alignment horizontal="left" vertical="center" wrapText="1"/>
    </x:xf>
    <x:xf numFmtId="0" fontId="38" fillId="0" borderId="55" xfId="0" applyNumberFormat="1" applyFont="1" applyFill="1" applyBorder="1"/>
    <x:xf numFmtId="0" fontId="43" fillId="5" borderId="59" xfId="0" applyNumberFormat="1" applyFont="1" applyFill="1" applyBorder="1" applyAlignment="1">
      <x:alignment vertical="top" wrapText="1"/>
    </x:xf>
    <x:xf numFmtId="0" fontId="38" fillId="0" borderId="61" xfId="0" applyNumberFormat="1" applyFont="1" applyFill="1" applyBorder="1"/>
    <x:xf numFmtId="0" fontId="43" fillId="21" borderId="63" xfId="0" applyNumberFormat="1" applyFont="1" applyFill="1" applyBorder="1" applyAlignment="1">
      <x:alignment vertical="top" wrapText="1"/>
    </x:xf>
    <x:xf numFmtId="0" fontId="43" fillId="5" borderId="63" xfId="0" applyNumberFormat="1" applyFont="1" applyFill="1" applyBorder="1" applyAlignment="1">
      <x:alignment vertical="top" wrapText="1"/>
    </x:xf>
    <x:xf numFmtId="0" fontId="38" fillId="0" borderId="65" xfId="0" applyNumberFormat="1" applyFont="1" applyFill="1" applyBorder="1"/>
    <x:xf numFmtId="0" fontId="38" fillId="0" borderId="66" xfId="0" applyNumberFormat="1" applyFont="1" applyFill="1" applyBorder="1"/>
    <x:xf numFmtId="0" fontId="38" fillId="0" borderId="67" xfId="0" applyNumberFormat="1" applyFont="1" applyFill="1" applyBorder="1"/>
    <x:xf numFmtId="0" fontId="33" fillId="19" borderId="68" xfId="0" applyNumberFormat="1" applyFont="1" applyFill="1" applyBorder="1" applyAlignment="1">
      <x:alignment vertical="center" wrapText="1"/>
    </x:xf>
    <x:xf numFmtId="0" fontId="32" fillId="0" borderId="68" xfId="0" applyNumberFormat="1" applyFont="1" applyFill="1" applyBorder="1"/>
    <x:xf numFmtId="0" fontId="34" fillId="19" borderId="68" xfId="0" applyNumberFormat="1" applyFont="1" applyFill="1" applyBorder="1" applyAlignment="1">
      <x:alignment vertical="top" wrapText="1"/>
    </x:xf>
    <x:xf numFmtId="0" fontId="34" fillId="0" borderId="68" xfId="0" applyNumberFormat="1" applyFont="1" applyFill="1" applyBorder="1" applyAlignment="1">
      <x:alignment vertical="top" wrapText="1"/>
    </x:xf>
    <x:xf numFmtId="0" fontId="32" fillId="0" borderId="0" xfId="0" applyNumberFormat="1" applyFont="1" applyFill="1" applyBorder="1"/>
    <x:xf numFmtId="0" fontId="32" fillId="19" borderId="0" xfId="0" applyNumberFormat="1" applyFont="1" applyFill="1" applyBorder="1"/>
    <x:xf numFmtId="0" fontId="0" fillId="22" borderId="0" xfId="0" applyNumberFormat="1" applyFont="1" applyFill="1" applyBorder="1"/>
    <x:xf numFmtId="49" fontId="0" fillId="22" borderId="68" xfId="0" applyNumberFormat="1" applyFont="1" applyFill="1" applyBorder="1" applyAlignment="1">
      <x:alignment vertical="top" wrapText="1"/>
    </x:xf>
    <x:xf numFmtId="0" fontId="0" fillId="22" borderId="68" xfId="0" applyNumberFormat="1" applyFont="1" applyFill="1" applyBorder="1"/>
    <x:xf numFmtId="49" fontId="0" fillId="22" borderId="68" xfId="0" applyNumberFormat="1" applyFont="1" applyFill="1" applyBorder="1"/>
    <x:xf numFmtId="0" fontId="0" fillId="22" borderId="69" xfId="0" applyNumberFormat="1" applyFont="1" applyFill="1" applyBorder="1"/>
    <x:xf numFmtId="49" fontId="38" fillId="22" borderId="69" xfId="0" applyNumberFormat="1" applyFont="1" applyFill="1" applyBorder="1" applyAlignment="1">
      <x:alignment wrapText="1"/>
    </x:xf>
    <x:xf numFmtId="49" fontId="0" fillId="22" borderId="69" xfId="0" applyNumberFormat="1" applyFont="1" applyFill="1" applyBorder="1" applyAlignment="1">
      <x:alignment vertical="top" wrapText="1"/>
    </x:xf>
    <x:xf numFmtId="49" fontId="0" fillId="22" borderId="70" xfId="0" applyNumberFormat="1" applyFont="1" applyFill="1" applyBorder="1" applyAlignment="1">
      <x:alignment vertical="top" wrapText="1"/>
    </x:xf>
    <x:xf numFmtId="0" fontId="1" fillId="22" borderId="71" xfId="0" applyNumberFormat="1" applyFont="1" applyFill="1" applyBorder="1"/>
    <x:xf numFmtId="0" fontId="45" fillId="0" borderId="0" xfId="0" applyNumberFormat="1" applyFont="1" applyFill="1" applyBorder="1"/>
    <x:xf numFmtId="0" fontId="1" fillId="0" borderId="68" xfId="0" applyNumberFormat="1" applyFont="1" applyFill="1" applyBorder="1"/>
    <x:xf numFmtId="0" fontId="1" fillId="22" borderId="0" xfId="0" applyNumberFormat="1" applyFont="1" applyFill="1" applyBorder="1"/>
    <x:xf numFmtId="0" fontId="45" fillId="22" borderId="0" xfId="0" applyNumberFormat="1" applyFont="1" applyFill="1" applyBorder="1"/>
    <x:xf numFmtId="49" fontId="47" fillId="22" borderId="71" xfId="0" applyNumberFormat="1" applyFont="1" applyFill="1" applyBorder="1"/>
    <x:xf numFmtId="0" fontId="47" fillId="22" borderId="71" xfId="0" applyNumberFormat="1" applyFont="1" applyFill="1" applyBorder="1"/>
    <x:xf numFmtId="0" fontId="48" fillId="22" borderId="0" xfId="0" applyNumberFormat="1" applyFont="1" applyFill="1" applyBorder="1"/>
    <x:xf numFmtId="49" fontId="48" fillId="22" borderId="68" xfId="0" applyNumberFormat="1" applyFont="1" applyFill="1" applyBorder="1" applyAlignment="1">
      <x:alignment vertical="top" wrapText="1"/>
    </x:xf>
    <x:xf numFmtId="49" fontId="48" fillId="22" borderId="69" xfId="0" applyNumberFormat="1" applyFont="1" applyFill="1" applyBorder="1" applyAlignment="1">
      <x:alignment vertical="top" wrapText="1"/>
    </x:xf>
    <x:xf numFmtId="0" fontId="48" fillId="22" borderId="69" xfId="0" applyNumberFormat="1" applyFont="1" applyFill="1" applyBorder="1"/>
    <x:xf numFmtId="49" fontId="47" fillId="22" borderId="68" xfId="0" applyNumberFormat="1" applyFont="1" applyFill="1" applyBorder="1" applyAlignment="1">
      <x:alignment vertical="top" wrapText="1"/>
    </x:xf>
    <x:xf numFmtId="0" fontId="47" fillId="22" borderId="0" xfId="0" applyNumberFormat="1" applyFont="1" applyFill="1" applyBorder="1"/>
    <x:xf numFmtId="49" fontId="48" fillId="22" borderId="70" xfId="0" applyNumberFormat="1" applyFont="1" applyFill="1" applyBorder="1" applyAlignment="1">
      <x:alignment vertical="top" wrapText="1"/>
    </x:xf>
    <x:xf numFmtId="0" fontId="48" fillId="22" borderId="68" xfId="0" applyNumberFormat="1" applyFont="1" applyFill="1" applyBorder="1"/>
    <x:xf numFmtId="49" fontId="48" fillId="22" borderId="68" xfId="0" applyNumberFormat="1" applyFont="1" applyFill="1" applyBorder="1"/>
    <x:xf numFmtId="49" fontId="47" fillId="22" borderId="68" xfId="0" applyNumberFormat="1" applyFont="1" applyFill="1" applyBorder="1" applyAlignment="1">
      <x:alignment horizontal="left"/>
    </x:xf>
    <x:xf numFmtId="49" fontId="48" fillId="22" borderId="69" xfId="0" applyNumberFormat="1" applyFont="1" applyFill="1" applyBorder="1" applyAlignment="1">
      <x:alignment wrapText="1"/>
    </x:xf>
    <x:xf numFmtId="49" fontId="47" fillId="22" borderId="71" xfId="0" applyNumberFormat="1" applyFont="1" applyFill="1" applyBorder="1" applyAlignment="1">
      <x:alignment wrapText="1"/>
    </x:xf>
    <x:xf numFmtId="0" fontId="47" fillId="22" borderId="71" xfId="0" applyNumberFormat="1" applyFont="1" applyFill="1" applyBorder="1" applyAlignment="1">
      <x:alignment wrapText="1"/>
    </x:xf>
    <x:xf numFmtId="0" fontId="48" fillId="22" borderId="0" xfId="0" applyNumberFormat="1" applyFont="1" applyFill="1" applyBorder="1" applyAlignment="1">
      <x:alignment wrapText="1"/>
    </x:xf>
    <x:xf numFmtId="0" fontId="48" fillId="22" borderId="69" xfId="0" applyNumberFormat="1" applyFont="1" applyFill="1" applyBorder="1" applyAlignment="1">
      <x:alignment wrapText="1"/>
    </x:xf>
    <x:xf numFmtId="0" fontId="47" fillId="22" borderId="0" xfId="0" applyNumberFormat="1" applyFont="1" applyFill="1" applyBorder="1" applyAlignment="1">
      <x:alignment wrapText="1"/>
    </x:xf>
    <x:xf numFmtId="0" fontId="48" fillId="22" borderId="68" xfId="0" applyNumberFormat="1" applyFont="1" applyFill="1" applyBorder="1" applyAlignment="1">
      <x:alignment wrapText="1"/>
    </x:xf>
    <x:xf numFmtId="49" fontId="48" fillId="22" borderId="68" xfId="0" applyNumberFormat="1" applyFont="1" applyFill="1" applyBorder="1" applyAlignment="1">
      <x:alignment wrapText="1"/>
    </x:xf>
    <x:xf numFmtId="49" fontId="47" fillId="22" borderId="68" xfId="0" applyNumberFormat="1" applyFont="1" applyFill="1" applyBorder="1" applyAlignment="1">
      <x:alignment horizontal="left" wrapText="1"/>
    </x:xf>
    <x:xf numFmtId="49" fontId="47" fillId="22" borderId="71" xfId="0" applyNumberFormat="1" applyFont="1" applyFill="1" applyBorder="1" applyAlignment="1">
      <x:alignment vertical="top" wrapText="1"/>
    </x:xf>
    <x:xf numFmtId="0" fontId="47" fillId="22" borderId="71" xfId="0" applyNumberFormat="1" applyFont="1" applyFill="1" applyBorder="1" applyAlignment="1">
      <x:alignment vertical="top" wrapText="1"/>
    </x:xf>
    <x:xf numFmtId="0" fontId="48" fillId="22" borderId="0" xfId="0" applyNumberFormat="1" applyFont="1" applyFill="1" applyBorder="1" applyAlignment="1">
      <x:alignment vertical="top" wrapText="1"/>
    </x:xf>
    <x:xf numFmtId="0" fontId="48" fillId="22" borderId="69" xfId="0" applyNumberFormat="1" applyFont="1" applyFill="1" applyBorder="1" applyAlignment="1">
      <x:alignment vertical="top" wrapText="1"/>
    </x:xf>
    <x:xf numFmtId="0" fontId="47" fillId="22" borderId="0" xfId="0" applyNumberFormat="1" applyFont="1" applyFill="1" applyBorder="1" applyAlignment="1">
      <x:alignment vertical="top" wrapText="1"/>
    </x:xf>
    <x:xf numFmtId="0" fontId="48" fillId="22" borderId="68" xfId="0" applyNumberFormat="1" applyFont="1" applyFill="1" applyBorder="1" applyAlignment="1">
      <x:alignment vertical="top" wrapText="1"/>
    </x:xf>
    <x:xf numFmtId="49" fontId="47" fillId="22" borderId="68" xfId="0" applyNumberFormat="1" applyFont="1" applyFill="1" applyBorder="1" applyAlignment="1">
      <x:alignment horizontal="left" vertical="top" wrapText="1"/>
    </x:xf>
    <x:xf numFmtId="49" fontId="47" fillId="22" borderId="72" xfId="0" applyNumberFormat="1" applyFont="1" applyFill="1" applyBorder="1" applyAlignment="1">
      <x:alignment vertical="top" wrapText="1"/>
    </x:xf>
    <x:xf numFmtId="0" fontId="47" fillId="22" borderId="73" xfId="0" applyNumberFormat="1" applyFont="1" applyFill="1" applyBorder="1" applyAlignment="1">
      <x:alignment vertical="top" wrapText="1"/>
    </x:xf>
    <x:xf numFmtId="0" fontId="48" fillId="22" borderId="73" xfId="0" applyNumberFormat="1" applyFont="1" applyFill="1" applyBorder="1" applyAlignment="1">
      <x:alignment vertical="top" wrapText="1"/>
    </x:xf>
    <x:xf numFmtId="0" fontId="48" fillId="22" borderId="74" xfId="0" applyNumberFormat="1" applyFont="1" applyFill="1" applyBorder="1" applyAlignment="1">
      <x:alignment vertical="top" wrapText="1"/>
    </x:xf>
    <x:xf numFmtId="49" fontId="48" fillId="22" borderId="75" xfId="0" applyNumberFormat="1" applyFont="1" applyFill="1" applyBorder="1" applyAlignment="1">
      <x:alignment vertical="top" wrapText="1"/>
    </x:xf>
    <x:xf numFmtId="49" fontId="48" fillId="22" borderId="76" xfId="0" applyNumberFormat="1" applyFont="1" applyFill="1" applyBorder="1" applyAlignment="1">
      <x:alignment vertical="top" wrapText="1"/>
    </x:xf>
    <x:xf numFmtId="0" fontId="48" fillId="22" borderId="76" xfId="0" applyNumberFormat="1" applyFont="1" applyFill="1" applyBorder="1" applyAlignment="1">
      <x:alignment vertical="top" wrapText="1"/>
    </x:xf>
    <x:xf numFmtId="0" fontId="48" fillId="22" borderId="77" xfId="0" applyNumberFormat="1" applyFont="1" applyFill="1" applyBorder="1" applyAlignment="1">
      <x:alignment vertical="top" wrapText="1"/>
    </x:xf>
    <x:xf numFmtId="49" fontId="47" fillId="22" borderId="75" xfId="0" applyNumberFormat="1" applyFont="1" applyFill="1" applyBorder="1" applyAlignment="1">
      <x:alignment vertical="top" wrapText="1"/>
    </x:xf>
    <x:xf numFmtId="49" fontId="47" fillId="22" borderId="76" xfId="0" applyNumberFormat="1" applyFont="1" applyFill="1" applyBorder="1" applyAlignment="1">
      <x:alignment vertical="top" wrapText="1"/>
    </x:xf>
    <x:xf numFmtId="0" fontId="47" fillId="22" borderId="76" xfId="0" applyNumberFormat="1" applyFont="1" applyFill="1" applyBorder="1" applyAlignment="1">
      <x:alignment vertical="top" wrapText="1"/>
    </x:xf>
    <x:xf numFmtId="0" fontId="48" fillId="22" borderId="75" xfId="0" applyNumberFormat="1" applyFont="1" applyFill="1" applyBorder="1" applyAlignment="1">
      <x:alignment vertical="top" wrapText="1"/>
    </x:xf>
    <x:xf numFmtId="49" fontId="47" fillId="22" borderId="75" xfId="0" applyNumberFormat="1" applyFont="1" applyFill="1" applyBorder="1" applyAlignment="1">
      <x:alignment horizontal="left" vertical="top" wrapText="1"/>
    </x:xf>
    <x:xf numFmtId="49" fontId="47" fillId="22" borderId="76" xfId="0" applyNumberFormat="1" applyFont="1" applyFill="1" applyBorder="1" applyAlignment="1">
      <x:alignment horizontal="left" vertical="top" wrapText="1"/>
    </x:xf>
    <x:xf numFmtId="0" fontId="48" fillId="22" borderId="78" xfId="0" applyNumberFormat="1" applyFont="1" applyFill="1" applyBorder="1" applyAlignment="1">
      <x:alignment vertical="top" wrapText="1"/>
    </x:xf>
    <x:xf numFmtId="0" fontId="48" fillId="22" borderId="79" xfId="0" applyNumberFormat="1" applyFont="1" applyFill="1" applyBorder="1" applyAlignment="1">
      <x:alignment vertical="top" wrapText="1"/>
    </x:xf>
    <x:xf numFmtId="0" fontId="48" fillId="22" borderId="80" xfId="0" applyNumberFormat="1" applyFont="1" applyFill="1" applyBorder="1" applyAlignment="1">
      <x:alignment vertical="top" wrapText="1"/>
    </x:xf>
    <x:xf numFmtId="49" fontId="0" fillId="22" borderId="2" xfId="0" applyNumberFormat="1" applyFont="1" applyFill="1" applyBorder="1"/>
    <x:xf numFmtId="0" fontId="0" fillId="22" borderId="2" xfId="0" applyNumberFormat="1" applyFont="1" applyFill="1" applyBorder="1"/>
    <x:xf numFmtId="49" fontId="1" fillId="22" borderId="2" xfId="0" applyNumberFormat="1" applyFont="1" applyFill="1" applyBorder="1"/>
    <x:xf numFmtId="49" fontId="48" fillId="22" borderId="2" xfId="0" applyNumberFormat="1" applyFont="1" applyFill="1" applyBorder="1"/>
    <x:xf numFmtId="0" fontId="48" fillId="22" borderId="2" xfId="0" applyNumberFormat="1" applyFont="1" applyFill="1" applyBorder="1"/>
    <x:xf numFmtId="49" fontId="47" fillId="22" borderId="2" xfId="0" applyNumberFormat="1" applyFont="1" applyFill="1" applyBorder="1"/>
    <x:xf numFmtId="49" fontId="48" fillId="22" borderId="2" xfId="0" applyNumberFormat="1" applyFont="1" applyFill="1" applyBorder="1" applyAlignment="1">
      <x:alignment wrapText="1"/>
    </x:xf>
    <x:xf numFmtId="0" fontId="48" fillId="22" borderId="2" xfId="0" applyNumberFormat="1" applyFont="1" applyFill="1" applyBorder="1" applyAlignment="1">
      <x:alignment wrapText="1"/>
    </x:xf>
    <x:xf numFmtId="49" fontId="47" fillId="22" borderId="2" xfId="0" applyNumberFormat="1" applyFont="1" applyFill="1" applyBorder="1" applyAlignment="1">
      <x:alignment wrapText="1"/>
    </x:xf>
    <x:xf numFmtId="49" fontId="48" fillId="22" borderId="2" xfId="0" applyNumberFormat="1" applyFont="1" applyFill="1" applyBorder="1" applyAlignment="1">
      <x:alignment vertical="top" wrapText="1"/>
    </x:xf>
    <x:xf numFmtId="0" fontId="48" fillId="22" borderId="2" xfId="0" applyNumberFormat="1" applyFont="1" applyFill="1" applyBorder="1" applyAlignment="1">
      <x:alignment vertical="top" wrapText="1"/>
    </x:xf>
    <x:xf numFmtId="49" fontId="47" fillId="22" borderId="2" xfId="0" applyNumberFormat="1" applyFont="1" applyFill="1" applyBorder="1" applyAlignment="1">
      <x:alignment vertical="top" wrapText="1"/>
    </x:xf>
    <x:xf numFmtId="49" fontId="48" fillId="22" borderId="81" xfId="0" applyNumberFormat="1" applyFont="1" applyFill="1" applyBorder="1" applyAlignment="1">
      <x:alignment vertical="top" wrapText="1"/>
    </x:xf>
    <x:xf numFmtId="0" fontId="48" fillId="22" borderId="82" xfId="0" applyNumberFormat="1" applyFont="1" applyFill="1" applyBorder="1" applyAlignment="1">
      <x:alignment vertical="top" wrapText="1"/>
    </x:xf>
    <x:xf numFmtId="0" fontId="48" fillId="22" borderId="83" xfId="0" applyNumberFormat="1" applyFont="1" applyFill="1" applyBorder="1" applyAlignment="1">
      <x:alignment vertical="top" wrapText="1"/>
    </x:xf>
    <x:xf numFmtId="0" fontId="48" fillId="22" borderId="84" xfId="0" applyNumberFormat="1" applyFont="1" applyFill="1" applyBorder="1" applyAlignment="1">
      <x:alignment vertical="top" wrapText="1"/>
    </x:xf>
    <x:xf numFmtId="0" fontId="48" fillId="22" borderId="85" xfId="0" applyNumberFormat="1" applyFont="1" applyFill="1" applyBorder="1" applyAlignment="1">
      <x:alignment vertical="top" wrapText="1"/>
    </x:xf>
    <x:xf numFmtId="49" fontId="47" fillId="22" borderId="84" xfId="0" applyNumberFormat="1" applyFont="1" applyFill="1" applyBorder="1" applyAlignment="1">
      <x:alignment vertical="top" wrapText="1"/>
    </x:xf>
    <x:xf numFmtId="49" fontId="48" fillId="22" borderId="84" xfId="0" applyNumberFormat="1" applyFont="1" applyFill="1" applyBorder="1" applyAlignment="1">
      <x:alignment vertical="top" wrapText="1"/>
    </x:xf>
    <x:xf numFmtId="49" fontId="48" fillId="22" borderId="86" xfId="0" applyNumberFormat="1" applyFont="1" applyFill="1" applyBorder="1" applyAlignment="1">
      <x:alignment vertical="top" wrapText="1"/>
    </x:xf>
    <x:xf numFmtId="49" fontId="48" fillId="22" borderId="87" xfId="0" applyNumberFormat="1" applyFont="1" applyFill="1" applyBorder="1" applyAlignment="1">
      <x:alignment vertical="top" wrapText="1"/>
    </x:xf>
    <x:xf numFmtId="0" fontId="48" fillId="22" borderId="87" xfId="0" applyNumberFormat="1" applyFont="1" applyFill="1" applyBorder="1" applyAlignment="1">
      <x:alignment vertical="top" wrapText="1"/>
    </x:xf>
    <x:xf numFmtId="0" fontId="48" fillId="22" borderId="88" xfId="0" applyNumberFormat="1" applyFont="1" applyFill="1" applyBorder="1" applyAlignment="1">
      <x:alignment vertical="top" wrapText="1"/>
    </x:xf>
    <x:xf numFmtId="49" fontId="2" fillId="22" borderId="6" xfId="0" applyNumberFormat="1" applyFont="1" applyFill="1" applyBorder="1" applyAlignment="1">
      <x:alignment horizontal="left"/>
    </x:xf>
    <x:xf numFmtId="0" fontId="2" fillId="22" borderId="7" xfId="0" applyNumberFormat="1" applyFont="1" applyFill="1" applyBorder="1" applyAlignment="1">
      <x:alignment horizontal="left"/>
    </x:xf>
    <x:xf numFmtId="0" fontId="0" fillId="22" borderId="8" xfId="0" applyNumberFormat="1" applyFont="1" applyFill="1" applyBorder="1"/>
    <x:xf numFmtId="49" fontId="3" fillId="22" borderId="9" xfId="0" applyNumberFormat="1" applyFont="1" applyFill="1" applyBorder="1" applyAlignment="1">
      <x:alignment wrapText="1"/>
    </x:xf>
    <x:xf numFmtId="0" fontId="3" fillId="22" borderId="10" xfId="0" applyNumberFormat="1" applyFont="1" applyFill="1" applyBorder="1" applyAlignment="1">
      <x:alignment wrapText="1"/>
    </x:xf>
    <x:xf numFmtId="49" fontId="4" fillId="22" borderId="11" xfId="0" applyNumberFormat="1" applyFont="1" applyFill="1" applyBorder="1" applyAlignment="1">
      <x:alignment horizontal="center" vertical="center" wrapText="1"/>
    </x:xf>
    <x:xf numFmtId="49" fontId="4" fillId="22" borderId="12" xfId="0" applyNumberFormat="1" applyFont="1" applyFill="1" applyBorder="1" applyAlignment="1">
      <x:alignment horizontal="center" vertical="center" wrapText="1"/>
    </x:xf>
    <x:xf numFmtId="49" fontId="4" fillId="22" borderId="13" xfId="0" applyNumberFormat="1" applyFont="1" applyFill="1" applyBorder="1" applyAlignment="1">
      <x:alignment horizontal="center" vertical="center" wrapText="1"/>
    </x:xf>
    <x:xf numFmtId="0" fontId="0" fillId="22" borderId="14" xfId="0" applyNumberFormat="1" applyFont="1" applyFill="1" applyBorder="1"/>
    <x:xf numFmtId="49" fontId="5" fillId="22" borderId="11" xfId="0" applyNumberFormat="1" applyFont="1" applyFill="1" applyBorder="1" applyAlignment="1">
      <x:alignment horizontal="left" vertical="top" wrapText="1"/>
    </x:xf>
    <x:xf numFmtId="49" fontId="5" fillId="22" borderId="12" xfId="0" applyNumberFormat="1" applyFont="1" applyFill="1" applyBorder="1" applyAlignment="1">
      <x:alignment horizontal="left" vertical="top" wrapText="1"/>
    </x:xf>
    <x:xf numFmtId="49" fontId="5" fillId="22" borderId="13" xfId="0" applyNumberFormat="1" applyFont="1" applyFill="1" applyBorder="1" applyAlignment="1">
      <x:alignment horizontal="left" vertical="top" wrapText="1"/>
    </x:xf>
    <x:xf numFmtId="49" fontId="5" fillId="22" borderId="15" xfId="0" applyNumberFormat="1" applyFont="1" applyFill="1" applyBorder="1" applyAlignment="1">
      <x:alignment horizontal="left" vertical="top" wrapText="1"/>
    </x:xf>
    <x:xf numFmtId="49" fontId="5" fillId="22" borderId="16" xfId="0" applyNumberFormat="1" applyFont="1" applyFill="1" applyBorder="1" applyAlignment="1">
      <x:alignment horizontal="left" vertical="top" wrapText="1"/>
    </x:xf>
    <x:xf numFmtId="49" fontId="5" fillId="22" borderId="17" xfId="0" applyNumberFormat="1" applyFont="1" applyFill="1" applyBorder="1" applyAlignment="1">
      <x:alignment horizontal="left" vertical="top" wrapText="1"/>
    </x:xf>
    <x:xf numFmtId="0" fontId="0" fillId="22" borderId="18" xfId="0" applyNumberFormat="1" applyFont="1" applyFill="1" applyBorder="1"/>
    <x:xf numFmtId="49" fontId="47" fillId="22" borderId="6" xfId="0" applyNumberFormat="1" applyFont="1" applyFill="1" applyBorder="1" applyAlignment="1">
      <x:alignment horizontal="left"/>
    </x:xf>
    <x:xf numFmtId="0" fontId="47" fillId="22" borderId="7" xfId="0" applyNumberFormat="1" applyFont="1" applyFill="1" applyBorder="1" applyAlignment="1">
      <x:alignment horizontal="left"/>
    </x:xf>
    <x:xf numFmtId="0" fontId="48" fillId="22" borderId="8" xfId="0" applyNumberFormat="1" applyFont="1" applyFill="1" applyBorder="1"/>
    <x:xf numFmtId="49" fontId="52" fillId="22" borderId="9" xfId="0" applyNumberFormat="1" applyFont="1" applyFill="1" applyBorder="1" applyAlignment="1">
      <x:alignment wrapText="1"/>
    </x:xf>
    <x:xf numFmtId="0" fontId="52" fillId="22" borderId="10" xfId="0" applyNumberFormat="1" applyFont="1" applyFill="1" applyBorder="1" applyAlignment="1">
      <x:alignment wrapText="1"/>
    </x:xf>
    <x:xf numFmtId="49" fontId="47" fillId="22" borderId="11" xfId="0" applyNumberFormat="1" applyFont="1" applyFill="1" applyBorder="1" applyAlignment="1">
      <x:alignment horizontal="center" vertical="center" wrapText="1"/>
    </x:xf>
    <x:xf numFmtId="49" fontId="47" fillId="22" borderId="12" xfId="0" applyNumberFormat="1" applyFont="1" applyFill="1" applyBorder="1" applyAlignment="1">
      <x:alignment horizontal="center" vertical="center" wrapText="1"/>
    </x:xf>
    <x:xf numFmtId="49" fontId="47" fillId="22" borderId="13" xfId="0" applyNumberFormat="1" applyFont="1" applyFill="1" applyBorder="1" applyAlignment="1">
      <x:alignment horizontal="center" vertical="center" wrapText="1"/>
    </x:xf>
    <x:xf numFmtId="0" fontId="48" fillId="22" borderId="14" xfId="0" applyNumberFormat="1" applyFont="1" applyFill="1" applyBorder="1"/>
    <x:xf numFmtId="49" fontId="48" fillId="22" borderId="11" xfId="0" applyNumberFormat="1" applyFont="1" applyFill="1" applyBorder="1" applyAlignment="1">
      <x:alignment horizontal="left" vertical="top" wrapText="1"/>
    </x:xf>
    <x:xf numFmtId="49" fontId="48" fillId="22" borderId="12" xfId="0" applyNumberFormat="1" applyFont="1" applyFill="1" applyBorder="1" applyAlignment="1">
      <x:alignment horizontal="left" vertical="top" wrapText="1"/>
    </x:xf>
    <x:xf numFmtId="49" fontId="48" fillId="22" borderId="13" xfId="0" applyNumberFormat="1" applyFont="1" applyFill="1" applyBorder="1" applyAlignment="1">
      <x:alignment horizontal="left" vertical="top" wrapText="1"/>
    </x:xf>
    <x:xf numFmtId="49" fontId="48" fillId="22" borderId="15" xfId="0" applyNumberFormat="1" applyFont="1" applyFill="1" applyBorder="1" applyAlignment="1">
      <x:alignment horizontal="left" vertical="top" wrapText="1"/>
    </x:xf>
    <x:xf numFmtId="49" fontId="48" fillId="22" borderId="16" xfId="0" applyNumberFormat="1" applyFont="1" applyFill="1" applyBorder="1" applyAlignment="1">
      <x:alignment horizontal="left" vertical="top" wrapText="1"/>
    </x:xf>
    <x:xf numFmtId="49" fontId="48" fillId="22" borderId="17" xfId="0" applyNumberFormat="1" applyFont="1" applyFill="1" applyBorder="1" applyAlignment="1">
      <x:alignment horizontal="left" vertical="top" wrapText="1"/>
    </x:xf>
    <x:xf numFmtId="0" fontId="48" fillId="22" borderId="18" xfId="0" applyNumberFormat="1" applyFont="1" applyFill="1" applyBorder="1"/>
    <x:xf numFmtId="49" fontId="47" fillId="22" borderId="6" xfId="0" applyNumberFormat="1" applyFont="1" applyFill="1" applyBorder="1" applyAlignment="1">
      <x:alignment horizontal="left" wrapText="1"/>
    </x:xf>
    <x:xf numFmtId="0" fontId="47" fillId="22" borderId="7" xfId="0" applyNumberFormat="1" applyFont="1" applyFill="1" applyBorder="1" applyAlignment="1">
      <x:alignment horizontal="left" wrapText="1"/>
    </x:xf>
    <x:xf numFmtId="0" fontId="48" fillId="22" borderId="8" xfId="0" applyNumberFormat="1" applyFont="1" applyFill="1" applyBorder="1" applyAlignment="1">
      <x:alignment wrapText="1"/>
    </x:xf>
    <x:xf numFmtId="0" fontId="48" fillId="22" borderId="14" xfId="0" applyNumberFormat="1" applyFont="1" applyFill="1" applyBorder="1" applyAlignment="1">
      <x:alignment wrapText="1"/>
    </x:xf>
    <x:xf numFmtId="0" fontId="48" fillId="22" borderId="18" xfId="0" applyNumberFormat="1" applyFont="1" applyFill="1" applyBorder="1" applyAlignment="1">
      <x:alignment wrapText="1"/>
    </x:xf>
    <x:xf numFmtId="49" fontId="47" fillId="22" borderId="6" xfId="0" applyNumberFormat="1" applyFont="1" applyFill="1" applyBorder="1" applyAlignment="1">
      <x:alignment horizontal="left" vertical="top" wrapText="1"/>
    </x:xf>
    <x:xf numFmtId="0" fontId="47" fillId="22" borderId="7" xfId="0" applyNumberFormat="1" applyFont="1" applyFill="1" applyBorder="1" applyAlignment="1">
      <x:alignment horizontal="left" vertical="top" wrapText="1"/>
    </x:xf>
    <x:xf numFmtId="0" fontId="48" fillId="22" borderId="8" xfId="0" applyNumberFormat="1" applyFont="1" applyFill="1" applyBorder="1" applyAlignment="1">
      <x:alignment vertical="top" wrapText="1"/>
    </x:xf>
    <x:xf numFmtId="49" fontId="52" fillId="22" borderId="9" xfId="0" applyNumberFormat="1" applyFont="1" applyFill="1" applyBorder="1" applyAlignment="1">
      <x:alignment vertical="top" wrapText="1"/>
    </x:xf>
    <x:xf numFmtId="0" fontId="52" fillId="22" borderId="10" xfId="0" applyNumberFormat="1" applyFont="1" applyFill="1" applyBorder="1" applyAlignment="1">
      <x:alignment vertical="top" wrapText="1"/>
    </x:xf>
    <x:xf numFmtId="49" fontId="47" fillId="22" borderId="11" xfId="0" applyNumberFormat="1" applyFont="1" applyFill="1" applyBorder="1" applyAlignment="1">
      <x:alignment horizontal="center" vertical="top" wrapText="1"/>
    </x:xf>
    <x:xf numFmtId="49" fontId="47" fillId="22" borderId="12" xfId="0" applyNumberFormat="1" applyFont="1" applyFill="1" applyBorder="1" applyAlignment="1">
      <x:alignment horizontal="center" vertical="top" wrapText="1"/>
    </x:xf>
    <x:xf numFmtId="49" fontId="47" fillId="22" borderId="13" xfId="0" applyNumberFormat="1" applyFont="1" applyFill="1" applyBorder="1" applyAlignment="1">
      <x:alignment horizontal="center" vertical="top" wrapText="1"/>
    </x:xf>
    <x:xf numFmtId="0" fontId="48" fillId="22" borderId="14" xfId="0" applyNumberFormat="1" applyFont="1" applyFill="1" applyBorder="1" applyAlignment="1">
      <x:alignment vertical="top" wrapText="1"/>
    </x:xf>
    <x:xf numFmtId="0" fontId="48" fillId="22" borderId="18" xfId="0" applyNumberFormat="1" applyFont="1" applyFill="1" applyBorder="1" applyAlignment="1">
      <x:alignment vertical="top" wrapText="1"/>
    </x:xf>
    <x:xf numFmtId="49" fontId="47" fillId="22" borderId="81" xfId="0" applyNumberFormat="1" applyFont="1" applyFill="1" applyBorder="1" applyAlignment="1">
      <x:alignment horizontal="left" vertical="top" wrapText="1"/>
    </x:xf>
    <x:xf numFmtId="0" fontId="47" fillId="22" borderId="82" xfId="0" applyNumberFormat="1" applyFont="1" applyFill="1" applyBorder="1" applyAlignment="1">
      <x:alignment horizontal="left" vertical="top" wrapText="1"/>
    </x:xf>
    <x:xf numFmtId="0" fontId="48" fillId="22" borderId="89" xfId="0" applyNumberFormat="1" applyFont="1" applyFill="1" applyBorder="1" applyAlignment="1">
      <x:alignment vertical="top" wrapText="1"/>
    </x:xf>
    <x:xf numFmtId="49" fontId="52" fillId="22" borderId="84" xfId="0" applyNumberFormat="1" applyFont="1" applyFill="1" applyBorder="1" applyAlignment="1">
      <x:alignment vertical="top" wrapText="1"/>
    </x:xf>
    <x:xf numFmtId="0" fontId="52" fillId="22" borderId="76" xfId="0" applyNumberFormat="1" applyFont="1" applyFill="1" applyBorder="1" applyAlignment="1">
      <x:alignment vertical="top" wrapText="1"/>
    </x:xf>
    <x:xf numFmtId="0" fontId="48" fillId="22" borderId="90" xfId="0" applyNumberFormat="1" applyFont="1" applyFill="1" applyBorder="1" applyAlignment="1">
      <x:alignment vertical="top" wrapText="1"/>
    </x:xf>
    <x:xf numFmtId="49" fontId="47" fillId="22" borderId="84" xfId="0" applyNumberFormat="1" applyFont="1" applyFill="1" applyBorder="1" applyAlignment="1">
      <x:alignment horizontal="center" vertical="top" wrapText="1"/>
    </x:xf>
    <x:xf numFmtId="49" fontId="47" fillId="22" borderId="76" xfId="0" applyNumberFormat="1" applyFont="1" applyFill="1" applyBorder="1" applyAlignment="1">
      <x:alignment horizontal="center" vertical="top" wrapText="1"/>
    </x:xf>
    <x:xf numFmtId="49" fontId="48" fillId="22" borderId="84" xfId="0" applyNumberFormat="1" applyFont="1" applyFill="1" applyBorder="1" applyAlignment="1">
      <x:alignment horizontal="left" vertical="top" wrapText="1"/>
    </x:xf>
    <x:xf numFmtId="49" fontId="48" fillId="22" borderId="76" xfId="0" applyNumberFormat="1" applyFont="1" applyFill="1" applyBorder="1" applyAlignment="1">
      <x:alignment horizontal="left" vertical="top" wrapText="1"/>
    </x:xf>
    <x:xf numFmtId="0" fontId="48" fillId="22" borderId="91" xfId="0" applyNumberFormat="1" applyFont="1" applyFill="1" applyBorder="1" applyAlignment="1">
      <x:alignment vertical="top" wrapText="1"/>
    </x:xf>
    <x:xf numFmtId="0" fontId="48" fillId="22" borderId="92" xfId="0" applyNumberFormat="1" applyFont="1" applyFill="1" applyBorder="1" applyAlignment="1">
      <x:alignment vertical="top" wrapText="1"/>
    </x:xf>
    <x:xf numFmtId="49" fontId="2" fillId="22" borderId="6" xfId="0" applyNumberFormat="1" applyFont="1" applyFill="1" applyBorder="1" applyAlignment="1">
      <x:alignment horizontal="left" vertical="center"/>
    </x:xf>
    <x:xf numFmtId="0" fontId="2" fillId="22" borderId="7" xfId="0" applyNumberFormat="1" applyFont="1" applyFill="1" applyBorder="1" applyAlignment="1">
      <x:alignment horizontal="left" vertical="center"/>
    </x:xf>
    <x:xf numFmtId="49" fontId="3" fillId="22" borderId="9" xfId="0" applyNumberFormat="1" applyFont="1" applyFill="1" applyBorder="1" applyAlignment="1">
      <x:alignment horizontal="left" vertical="center" wrapText="1"/>
    </x:xf>
    <x:xf numFmtId="0" fontId="3" fillId="22" borderId="10" xfId="0" applyNumberFormat="1" applyFont="1" applyFill="1" applyBorder="1" applyAlignment="1">
      <x:alignment horizontal="left" vertical="center" wrapText="1"/>
    </x:xf>
    <x:xf numFmtId="49" fontId="5" fillId="22" borderId="11" xfId="0" applyNumberFormat="1" applyFont="1" applyFill="1" applyBorder="1" applyAlignment="1">
      <x:alignment horizontal="center" vertical="center"/>
    </x:xf>
    <x:xf numFmtId="49" fontId="5" fillId="22" borderId="12" xfId="0" applyNumberFormat="1" applyFont="1" applyFill="1" applyBorder="1" applyAlignment="1">
      <x:alignment horizontal="center" vertical="center"/>
    </x:xf>
    <x:xf numFmtId="49" fontId="5" fillId="22" borderId="12" xfId="0" applyNumberFormat="1" applyFont="1" applyFill="1" applyBorder="1" applyAlignment="1">
      <x:alignment horizontal="left" vertical="center" wrapText="1"/>
    </x:xf>
    <x:xf numFmtId="49" fontId="5" fillId="22" borderId="12" xfId="0" applyNumberFormat="1" applyFont="1" applyFill="1" applyBorder="1" applyAlignment="1">
      <x:alignment vertical="center"/>
    </x:xf>
    <x:xf numFmtId="200" fontId="5" fillId="22" borderId="12" xfId="0" applyNumberFormat="1" applyFont="1" applyFill="1" applyBorder="1" applyAlignment="1">
      <x:alignment horizontal="center" vertical="center"/>
    </x:xf>
    <x:xf numFmtId="0" fontId="5" fillId="22" borderId="12" xfId="0" applyNumberFormat="1" applyFont="1" applyFill="1" applyBorder="1" applyAlignment="1">
      <x:alignment horizontal="center" vertical="center"/>
    </x:xf>
    <x:xf numFmtId="49" fontId="5" fillId="22" borderId="13" xfId="0" applyNumberFormat="1" applyFont="1" applyFill="1" applyBorder="1" applyAlignment="1">
      <x:alignment horizontal="left" vertical="center" wrapText="1"/>
    </x:xf>
    <x:xf numFmtId="49" fontId="5" fillId="22" borderId="15" xfId="0" applyNumberFormat="1" applyFont="1" applyFill="1" applyBorder="1" applyAlignment="1">
      <x:alignment horizontal="center" vertical="center"/>
    </x:xf>
    <x:xf numFmtId="49" fontId="5" fillId="22" borderId="16" xfId="0" applyNumberFormat="1" applyFont="1" applyFill="1" applyBorder="1" applyAlignment="1">
      <x:alignment horizontal="center" vertical="center"/>
    </x:xf>
    <x:xf numFmtId="49" fontId="5" fillId="22" borderId="16" xfId="0" applyNumberFormat="1" applyFont="1" applyFill="1" applyBorder="1" applyAlignment="1">
      <x:alignment horizontal="left" vertical="center" wrapText="1"/>
    </x:xf>
    <x:xf numFmtId="49" fontId="5" fillId="22" borderId="16" xfId="0" applyNumberFormat="1" applyFont="1" applyFill="1" applyBorder="1" applyAlignment="1">
      <x:alignment vertical="center"/>
    </x:xf>
    <x:xf numFmtId="200" fontId="5" fillId="22" borderId="16" xfId="0" applyNumberFormat="1" applyFont="1" applyFill="1" applyBorder="1" applyAlignment="1">
      <x:alignment horizontal="center" vertical="center"/>
    </x:xf>
    <x:xf numFmtId="0" fontId="5" fillId="22" borderId="16" xfId="0" applyNumberFormat="1" applyFont="1" applyFill="1" applyBorder="1" applyAlignment="1">
      <x:alignment horizontal="center" vertical="center"/>
    </x:xf>
    <x:xf numFmtId="49" fontId="5" fillId="22" borderId="17" xfId="0" applyNumberFormat="1" applyFont="1" applyFill="1" applyBorder="1" applyAlignment="1">
      <x:alignment horizontal="left" vertical="center" wrapText="1"/>
    </x:xf>
    <x:xf numFmtId="200" fontId="0" fillId="22" borderId="18" xfId="0" applyNumberFormat="1" applyFont="1" applyFill="1" applyBorder="1"/>
    <x:xf numFmtId="200" fontId="0" fillId="22" borderId="0" xfId="0" applyNumberFormat="1" applyFont="1" applyFill="1" applyBorder="1"/>
    <x:xf numFmtId="49" fontId="47" fillId="22" borderId="6" xfId="0" applyNumberFormat="1" applyFont="1" applyFill="1" applyBorder="1" applyAlignment="1">
      <x:alignment horizontal="left" vertical="center"/>
    </x:xf>
    <x:xf numFmtId="0" fontId="47" fillId="22" borderId="7" xfId="0" applyNumberFormat="1" applyFont="1" applyFill="1" applyBorder="1" applyAlignment="1">
      <x:alignment horizontal="left" vertical="center"/>
    </x:xf>
    <x:xf numFmtId="49" fontId="52" fillId="22" borderId="9" xfId="0" applyNumberFormat="1" applyFont="1" applyFill="1" applyBorder="1" applyAlignment="1">
      <x:alignment horizontal="left" vertical="center" wrapText="1"/>
    </x:xf>
    <x:xf numFmtId="0" fontId="52" fillId="22" borderId="10" xfId="0" applyNumberFormat="1" applyFont="1" applyFill="1" applyBorder="1" applyAlignment="1">
      <x:alignment horizontal="left" vertical="center" wrapText="1"/>
    </x:xf>
    <x:xf numFmtId="49" fontId="48" fillId="22" borderId="11" xfId="0" applyNumberFormat="1" applyFont="1" applyFill="1" applyBorder="1" applyAlignment="1">
      <x:alignment horizontal="center" vertical="center"/>
    </x:xf>
    <x:xf numFmtId="49" fontId="48" fillId="22" borderId="12" xfId="0" applyNumberFormat="1" applyFont="1" applyFill="1" applyBorder="1" applyAlignment="1">
      <x:alignment horizontal="center" vertical="center"/>
    </x:xf>
    <x:xf numFmtId="49" fontId="48" fillId="22" borderId="12" xfId="0" applyNumberFormat="1" applyFont="1" applyFill="1" applyBorder="1" applyAlignment="1">
      <x:alignment horizontal="left" vertical="center" wrapText="1"/>
    </x:xf>
    <x:xf numFmtId="49" fontId="48" fillId="22" borderId="12" xfId="0" applyNumberFormat="1" applyFont="1" applyFill="1" applyBorder="1" applyAlignment="1">
      <x:alignment vertical="center"/>
    </x:xf>
    <x:xf numFmtId="200" fontId="48" fillId="22" borderId="12" xfId="0" applyNumberFormat="1" applyFont="1" applyFill="1" applyBorder="1" applyAlignment="1">
      <x:alignment horizontal="center" vertical="center"/>
    </x:xf>
    <x:xf numFmtId="0" fontId="48" fillId="22" borderId="12" xfId="0" applyNumberFormat="1" applyFont="1" applyFill="1" applyBorder="1" applyAlignment="1">
      <x:alignment horizontal="center" vertical="center"/>
    </x:xf>
    <x:xf numFmtId="49" fontId="48" fillId="22" borderId="13" xfId="0" applyNumberFormat="1" applyFont="1" applyFill="1" applyBorder="1" applyAlignment="1">
      <x:alignment horizontal="left" vertical="center" wrapText="1"/>
    </x:xf>
    <x:xf numFmtId="49" fontId="48" fillId="22" borderId="15" xfId="0" applyNumberFormat="1" applyFont="1" applyFill="1" applyBorder="1" applyAlignment="1">
      <x:alignment horizontal="center" vertical="center"/>
    </x:xf>
    <x:xf numFmtId="49" fontId="48" fillId="22" borderId="16" xfId="0" applyNumberFormat="1" applyFont="1" applyFill="1" applyBorder="1" applyAlignment="1">
      <x:alignment horizontal="center" vertical="center"/>
    </x:xf>
    <x:xf numFmtId="49" fontId="48" fillId="22" borderId="16" xfId="0" applyNumberFormat="1" applyFont="1" applyFill="1" applyBorder="1" applyAlignment="1">
      <x:alignment horizontal="left" vertical="center" wrapText="1"/>
    </x:xf>
    <x:xf numFmtId="49" fontId="48" fillId="22" borderId="16" xfId="0" applyNumberFormat="1" applyFont="1" applyFill="1" applyBorder="1" applyAlignment="1">
      <x:alignment vertical="center"/>
    </x:xf>
    <x:xf numFmtId="200" fontId="48" fillId="22" borderId="16" xfId="0" applyNumberFormat="1" applyFont="1" applyFill="1" applyBorder="1" applyAlignment="1">
      <x:alignment horizontal="center" vertical="center"/>
    </x:xf>
    <x:xf numFmtId="0" fontId="48" fillId="22" borderId="16" xfId="0" applyNumberFormat="1" applyFont="1" applyFill="1" applyBorder="1" applyAlignment="1">
      <x:alignment horizontal="center" vertical="center"/>
    </x:xf>
    <x:xf numFmtId="49" fontId="48" fillId="22" borderId="17" xfId="0" applyNumberFormat="1" applyFont="1" applyFill="1" applyBorder="1" applyAlignment="1">
      <x:alignment horizontal="left" vertical="center" wrapText="1"/>
    </x:xf>
    <x:xf numFmtId="200" fontId="48" fillId="22" borderId="18" xfId="0" applyNumberFormat="1" applyFont="1" applyFill="1" applyBorder="1"/>
    <x:xf numFmtId="200" fontId="48" fillId="22" borderId="0" xfId="0" applyNumberFormat="1" applyFont="1" applyFill="1" applyBorder="1"/>
    <x:xf numFmtId="49" fontId="47" fillId="22" borderId="6" xfId="0" applyNumberFormat="1" applyFont="1" applyFill="1" applyBorder="1" applyAlignment="1">
      <x:alignment horizontal="left" vertical="center" wrapText="1"/>
    </x:xf>
    <x:xf numFmtId="0" fontId="47" fillId="22" borderId="7" xfId="0" applyNumberFormat="1" applyFont="1" applyFill="1" applyBorder="1" applyAlignment="1">
      <x:alignment horizontal="left" vertical="center" wrapText="1"/>
    </x:xf>
    <x:xf numFmtId="49" fontId="48" fillId="22" borderId="11" xfId="0" applyNumberFormat="1" applyFont="1" applyFill="1" applyBorder="1" applyAlignment="1">
      <x:alignment horizontal="center" vertical="center" wrapText="1"/>
    </x:xf>
    <x:xf numFmtId="49" fontId="48" fillId="22" borderId="12" xfId="0" applyNumberFormat="1" applyFont="1" applyFill="1" applyBorder="1" applyAlignment="1">
      <x:alignment horizontal="center" vertical="center" wrapText="1"/>
    </x:xf>
    <x:xf numFmtId="49" fontId="48" fillId="22" borderId="12" xfId="0" applyNumberFormat="1" applyFont="1" applyFill="1" applyBorder="1" applyAlignment="1">
      <x:alignment vertical="center" wrapText="1"/>
    </x:xf>
    <x:xf numFmtId="200" fontId="48" fillId="22" borderId="12" xfId="0" applyNumberFormat="1" applyFont="1" applyFill="1" applyBorder="1" applyAlignment="1">
      <x:alignment horizontal="center" vertical="center" wrapText="1"/>
    </x:xf>
    <x:xf numFmtId="0" fontId="48" fillId="22" borderId="12" xfId="0" applyNumberFormat="1" applyFont="1" applyFill="1" applyBorder="1" applyAlignment="1">
      <x:alignment horizontal="center" vertical="center" wrapText="1"/>
    </x:xf>
    <x:xf numFmtId="49" fontId="48" fillId="22" borderId="15" xfId="0" applyNumberFormat="1" applyFont="1" applyFill="1" applyBorder="1" applyAlignment="1">
      <x:alignment horizontal="center" vertical="center" wrapText="1"/>
    </x:xf>
    <x:xf numFmtId="49" fontId="48" fillId="22" borderId="16" xfId="0" applyNumberFormat="1" applyFont="1" applyFill="1" applyBorder="1" applyAlignment="1">
      <x:alignment horizontal="center" vertical="center" wrapText="1"/>
    </x:xf>
    <x:xf numFmtId="49" fontId="48" fillId="22" borderId="16" xfId="0" applyNumberFormat="1" applyFont="1" applyFill="1" applyBorder="1" applyAlignment="1">
      <x:alignment vertical="center" wrapText="1"/>
    </x:xf>
    <x:xf numFmtId="200" fontId="48" fillId="22" borderId="16" xfId="0" applyNumberFormat="1" applyFont="1" applyFill="1" applyBorder="1" applyAlignment="1">
      <x:alignment horizontal="center" vertical="center" wrapText="1"/>
    </x:xf>
    <x:xf numFmtId="0" fontId="48" fillId="22" borderId="16" xfId="0" applyNumberFormat="1" applyFont="1" applyFill="1" applyBorder="1" applyAlignment="1">
      <x:alignment horizontal="center" vertical="center" wrapText="1"/>
    </x:xf>
    <x:xf numFmtId="200" fontId="48" fillId="22" borderId="18" xfId="0" applyNumberFormat="1" applyFont="1" applyFill="1" applyBorder="1" applyAlignment="1">
      <x:alignment wrapText="1"/>
    </x:xf>
    <x:xf numFmtId="200" fontId="48" fillId="22" borderId="0" xfId="0" applyNumberFormat="1" applyFont="1" applyFill="1" applyBorder="1" applyAlignment="1">
      <x:alignment wrapText="1"/>
    </x:xf>
    <x:xf numFmtId="49" fontId="52" fillId="22" borderId="9" xfId="0" applyNumberFormat="1" applyFont="1" applyFill="1" applyBorder="1" applyAlignment="1">
      <x:alignment horizontal="left" vertical="top" wrapText="1"/>
    </x:xf>
    <x:xf numFmtId="0" fontId="52" fillId="22" borderId="10" xfId="0" applyNumberFormat="1" applyFont="1" applyFill="1" applyBorder="1" applyAlignment="1">
      <x:alignment horizontal="left" vertical="top" wrapText="1"/>
    </x:xf>
    <x:xf numFmtId="49" fontId="48" fillId="22" borderId="11" xfId="0" applyNumberFormat="1" applyFont="1" applyFill="1" applyBorder="1" applyAlignment="1">
      <x:alignment horizontal="center" vertical="top" wrapText="1"/>
    </x:xf>
    <x:xf numFmtId="49" fontId="48" fillId="22" borderId="12" xfId="0" applyNumberFormat="1" applyFont="1" applyFill="1" applyBorder="1" applyAlignment="1">
      <x:alignment horizontal="center" vertical="top" wrapText="1"/>
    </x:xf>
    <x:xf numFmtId="49" fontId="48" fillId="22" borderId="12" xfId="0" applyNumberFormat="1" applyFont="1" applyFill="1" applyBorder="1" applyAlignment="1">
      <x:alignment vertical="top" wrapText="1"/>
    </x:xf>
    <x:xf numFmtId="200" fontId="48" fillId="22" borderId="12" xfId="0" applyNumberFormat="1" applyFont="1" applyFill="1" applyBorder="1" applyAlignment="1">
      <x:alignment horizontal="center" vertical="top" wrapText="1"/>
    </x:xf>
    <x:xf numFmtId="0" fontId="48" fillId="22" borderId="12" xfId="0" applyNumberFormat="1" applyFont="1" applyFill="1" applyBorder="1" applyAlignment="1">
      <x:alignment horizontal="center" vertical="top" wrapText="1"/>
    </x:xf>
    <x:xf numFmtId="49" fontId="48" fillId="22" borderId="15" xfId="0" applyNumberFormat="1" applyFont="1" applyFill="1" applyBorder="1" applyAlignment="1">
      <x:alignment horizontal="center" vertical="top" wrapText="1"/>
    </x:xf>
    <x:xf numFmtId="49" fontId="48" fillId="22" borderId="16" xfId="0" applyNumberFormat="1" applyFont="1" applyFill="1" applyBorder="1" applyAlignment="1">
      <x:alignment horizontal="center" vertical="top" wrapText="1"/>
    </x:xf>
    <x:xf numFmtId="49" fontId="48" fillId="22" borderId="16" xfId="0" applyNumberFormat="1" applyFont="1" applyFill="1" applyBorder="1" applyAlignment="1">
      <x:alignment vertical="top" wrapText="1"/>
    </x:xf>
    <x:xf numFmtId="200" fontId="48" fillId="22" borderId="16" xfId="0" applyNumberFormat="1" applyFont="1" applyFill="1" applyBorder="1" applyAlignment="1">
      <x:alignment horizontal="center" vertical="top" wrapText="1"/>
    </x:xf>
    <x:xf numFmtId="0" fontId="48" fillId="22" borderId="16" xfId="0" applyNumberFormat="1" applyFont="1" applyFill="1" applyBorder="1" applyAlignment="1">
      <x:alignment horizontal="center" vertical="top" wrapText="1"/>
    </x:xf>
    <x:xf numFmtId="200" fontId="48" fillId="22" borderId="18" xfId="0" applyNumberFormat="1" applyFont="1" applyFill="1" applyBorder="1" applyAlignment="1">
      <x:alignment vertical="top" wrapText="1"/>
    </x:xf>
    <x:xf numFmtId="200" fontId="48" fillId="22" borderId="0" xfId="0" applyNumberFormat="1" applyFont="1" applyFill="1" applyBorder="1" applyAlignment="1">
      <x:alignment vertical="top" wrapText="1"/>
    </x:xf>
    <x:xf numFmtId="49" fontId="52" fillId="22" borderId="84" xfId="0" applyNumberFormat="1" applyFont="1" applyFill="1" applyBorder="1" applyAlignment="1">
      <x:alignment horizontal="left" vertical="top" wrapText="1"/>
    </x:xf>
    <x:xf numFmtId="0" fontId="52" fillId="22" borderId="76" xfId="0" applyNumberFormat="1" applyFont="1" applyFill="1" applyBorder="1" applyAlignment="1">
      <x:alignment horizontal="left" vertical="top" wrapText="1"/>
    </x:xf>
    <x:xf numFmtId="49" fontId="48" fillId="22" borderId="84" xfId="0" applyNumberFormat="1" applyFont="1" applyFill="1" applyBorder="1" applyAlignment="1">
      <x:alignment horizontal="center" vertical="top" wrapText="1"/>
    </x:xf>
    <x:xf numFmtId="49" fontId="48" fillId="22" borderId="76" xfId="0" applyNumberFormat="1" applyFont="1" applyFill="1" applyBorder="1" applyAlignment="1">
      <x:alignment horizontal="center" vertical="top" wrapText="1"/>
    </x:xf>
    <x:xf numFmtId="200" fontId="48" fillId="22" borderId="76" xfId="0" applyNumberFormat="1" applyFont="1" applyFill="1" applyBorder="1" applyAlignment="1">
      <x:alignment horizontal="center" vertical="top" wrapText="1"/>
    </x:xf>
    <x:xf numFmtId="0" fontId="48" fillId="22" borderId="76" xfId="0" applyNumberFormat="1" applyFont="1" applyFill="1" applyBorder="1" applyAlignment="1">
      <x:alignment horizontal="center" vertical="top" wrapText="1"/>
    </x:xf>
    <x:xf numFmtId="200" fontId="48" fillId="22" borderId="76" xfId="0" applyNumberFormat="1" applyFont="1" applyFill="1" applyBorder="1" applyAlignment="1">
      <x:alignment vertical="top" wrapText="1"/>
    </x:xf>
    <x:xf numFmtId="200" fontId="48" fillId="22" borderId="79" xfId="0" applyNumberFormat="1" applyFont="1" applyFill="1" applyBorder="1" applyAlignment="1">
      <x:alignment vertical="top" wrapText="1"/>
    </x:xf>
    <x:xf numFmtId="49" fontId="5" fillId="22" borderId="11" xfId="0" applyNumberFormat="1" applyFont="1" applyFill="1" applyBorder="1" applyAlignment="1">
      <x:alignment horizontal="center" vertical="top" wrapText="1"/>
    </x:xf>
    <x:xf numFmtId="49" fontId="5" fillId="22" borderId="12" xfId="0" applyNumberFormat="1" applyFont="1" applyFill="1" applyBorder="1" applyAlignment="1">
      <x:alignment horizontal="center" vertical="top" wrapText="1"/>
    </x:xf>
    <x:xf numFmtId="49" fontId="5" fillId="22" borderId="15" xfId="0" applyNumberFormat="1" applyFont="1" applyFill="1" applyBorder="1" applyAlignment="1">
      <x:alignment horizontal="center" vertical="top" wrapText="1"/>
    </x:xf>
    <x:xf numFmtId="49" fontId="5" fillId="22" borderId="16" xfId="0" applyNumberFormat="1" applyFont="1" applyFill="1" applyBorder="1" applyAlignment="1">
      <x:alignment horizontal="center" vertical="top" wrapText="1"/>
    </x:xf>
    <x:xf numFmtId="49" fontId="6" fillId="22" borderId="6" xfId="0" applyNumberFormat="1" applyFont="1" applyFill="1" applyBorder="1" applyAlignment="1">
      <x:alignment vertical="top" wrapText="1"/>
    </x:xf>
    <x:xf numFmtId="49" fontId="7" fillId="22" borderId="19" xfId="0" applyNumberFormat="1" applyFont="1" applyFill="1" applyBorder="1" applyAlignment="1">
      <x:alignment vertical="top" wrapText="1"/>
    </x:xf>
    <x:xf numFmtId="0" fontId="0" fillId="22" borderId="20" xfId="0" applyNumberFormat="1" applyFont="1" applyFill="1" applyBorder="1"/>
    <x:xf numFmtId="0" fontId="8" fillId="22" borderId="21" xfId="0" applyNumberFormat="1" applyFont="1" applyFill="1" applyBorder="1" applyAlignment="1">
      <x:alignment vertical="top" wrapText="1"/>
    </x:xf>
    <x:xf numFmtId="49" fontId="9" fillId="22" borderId="22" xfId="0" applyNumberFormat="1" applyFont="1" applyFill="1" applyBorder="1" applyAlignment="1">
      <x:alignment vertical="top" wrapText="1"/>
    </x:xf>
    <x:xf numFmtId="0" fontId="0" fillId="22" borderId="23" xfId="0" applyNumberFormat="1" applyFont="1" applyFill="1" applyBorder="1"/>
    <x:xf numFmtId="49" fontId="8" fillId="22" borderId="24" xfId="0" applyNumberFormat="1" applyFont="1" applyFill="1" applyBorder="1" applyAlignment="1">
      <x:alignment vertical="top" wrapText="1"/>
    </x:xf>
    <x:xf numFmtId="49" fontId="8" fillId="22" borderId="25" xfId="0" applyNumberFormat="1" applyFont="1" applyFill="1" applyBorder="1" applyAlignment="1">
      <x:alignment vertical="top" wrapText="1"/>
    </x:xf>
    <x:xf numFmtId="0" fontId="8" fillId="22" borderId="25" xfId="0" applyNumberFormat="1" applyFont="1" applyFill="1" applyBorder="1" applyAlignment="1">
      <x:alignment vertical="top" wrapText="1"/>
    </x:xf>
    <x:xf numFmtId="49" fontId="8" fillId="22" borderId="26" xfId="0" applyNumberFormat="1" applyFont="1" applyFill="1" applyBorder="1" applyAlignment="1">
      <x:alignment vertical="top" wrapText="1"/>
    </x:xf>
    <x:xf numFmtId="0" fontId="8" fillId="22" borderId="26" xfId="0" applyNumberFormat="1" applyFont="1" applyFill="1" applyBorder="1" applyAlignment="1">
      <x:alignment vertical="top" wrapText="1"/>
    </x:xf>
    <x:xf numFmtId="49" fontId="8" fillId="22" borderId="27" xfId="0" applyNumberFormat="1" applyFont="1" applyFill="1" applyBorder="1" applyAlignment="1">
      <x:alignment vertical="top" wrapText="1"/>
    </x:xf>
    <x:xf numFmtId="49" fontId="8" fillId="22" borderId="28" xfId="0" applyNumberFormat="1" applyFont="1" applyFill="1" applyBorder="1" applyAlignment="1">
      <x:alignment vertical="top" wrapText="1"/>
    </x:xf>
    <x:xf numFmtId="0" fontId="8" fillId="22" borderId="28" xfId="0" applyNumberFormat="1" applyFont="1" applyFill="1" applyBorder="1" applyAlignment="1">
      <x:alignment vertical="top" wrapText="1"/>
    </x:xf>
    <x:xf numFmtId="0" fontId="8" fillId="22" borderId="29" xfId="0" applyNumberFormat="1" applyFont="1" applyFill="1" applyBorder="1" applyAlignment="1">
      <x:alignment vertical="top" wrapText="1"/>
    </x:xf>
    <x:xf numFmtId="0" fontId="8" fillId="22" borderId="30" xfId="0" applyNumberFormat="1" applyFont="1" applyFill="1" applyBorder="1" applyAlignment="1">
      <x:alignment vertical="top" wrapText="1"/>
    </x:xf>
    <x:xf numFmtId="0" fontId="8" fillId="22" borderId="31" xfId="0" applyNumberFormat="1" applyFont="1" applyFill="1" applyBorder="1" applyAlignment="1">
      <x:alignment vertical="top" wrapText="1"/>
    </x:xf>
    <x:xf numFmtId="0" fontId="8" fillId="22" borderId="32" xfId="0" applyNumberFormat="1" applyFont="1" applyFill="1" applyBorder="1" applyAlignment="1">
      <x:alignment vertical="top" wrapText="1"/>
    </x:xf>
    <x:xf numFmtId="0" fontId="8" fillId="22" borderId="5" xfId="0" applyNumberFormat="1" applyFont="1" applyFill="1" applyBorder="1" applyAlignment="1">
      <x:alignment vertical="top" wrapText="1"/>
    </x:xf>
    <x:xf numFmtId="49" fontId="9" fillId="22" borderId="33" xfId="0" applyNumberFormat="1" applyFont="1" applyFill="1" applyBorder="1" applyAlignment="1">
      <x:alignment vertical="top" wrapText="1"/>
    </x:xf>
    <x:xf numFmtId="0" fontId="0" fillId="22" borderId="34" xfId="0" applyNumberFormat="1" applyFont="1" applyFill="1" applyBorder="1"/>
    <x:xf numFmtId="0" fontId="0" fillId="22" borderId="21" xfId="0" applyNumberFormat="1" applyFont="1" applyFill="1" applyBorder="1"/>
    <x:xf numFmtId="0" fontId="8" fillId="22" borderId="23" xfId="0" applyNumberFormat="1" applyFont="1" applyFill="1" applyBorder="1" applyAlignment="1">
      <x:alignment vertical="top" wrapText="1"/>
    </x:xf>
    <x:xf numFmtId="0" fontId="8" fillId="22" borderId="2" xfId="0" applyNumberFormat="1" applyFont="1" applyFill="1" applyBorder="1" applyAlignment="1">
      <x:alignment vertical="top" wrapText="1"/>
    </x:xf>
    <x:xf numFmtId="49" fontId="8" fillId="22" borderId="35" xfId="0" applyNumberFormat="1" applyFont="1" applyFill="1" applyBorder="1" applyAlignment="1">
      <x:alignment vertical="top" wrapText="1"/>
    </x:xf>
    <x:xf numFmtId="0" fontId="8" fillId="22" borderId="35" xfId="0" applyNumberFormat="1" applyFont="1" applyFill="1" applyBorder="1" applyAlignment="1">
      <x:alignment vertical="top" wrapText="1"/>
    </x:xf>
    <x:xf numFmtId="49" fontId="47" fillId="22" borderId="6" xfId="0" applyNumberFormat="1" applyFont="1" applyFill="1" applyBorder="1" applyAlignment="1">
      <x:alignment vertical="top" wrapText="1"/>
    </x:xf>
    <x:xf numFmtId="49" fontId="52" fillId="22" borderId="19" xfId="0" applyNumberFormat="1" applyFont="1" applyFill="1" applyBorder="1" applyAlignment="1">
      <x:alignment vertical="top" wrapText="1"/>
    </x:xf>
    <x:xf numFmtId="0" fontId="48" fillId="22" borderId="20" xfId="0" applyNumberFormat="1" applyFont="1" applyFill="1" applyBorder="1"/>
    <x:xf numFmtId="0" fontId="48" fillId="22" borderId="21" xfId="0" applyNumberFormat="1" applyFont="1" applyFill="1" applyBorder="1" applyAlignment="1">
      <x:alignment vertical="top" wrapText="1"/>
    </x:xf>
    <x:xf numFmtId="49" fontId="47" fillId="22" borderId="22" xfId="0" applyNumberFormat="1" applyFont="1" applyFill="1" applyBorder="1" applyAlignment="1">
      <x:alignment vertical="top" wrapText="1"/>
    </x:xf>
    <x:xf numFmtId="0" fontId="48" fillId="22" borderId="23" xfId="0" applyNumberFormat="1" applyFont="1" applyFill="1" applyBorder="1"/>
    <x:xf numFmtId="49" fontId="48" fillId="22" borderId="24" xfId="0" applyNumberFormat="1" applyFont="1" applyFill="1" applyBorder="1" applyAlignment="1">
      <x:alignment vertical="top" wrapText="1"/>
    </x:xf>
    <x:xf numFmtId="49" fontId="48" fillId="22" borderId="25" xfId="0" applyNumberFormat="1" applyFont="1" applyFill="1" applyBorder="1" applyAlignment="1">
      <x:alignment vertical="top" wrapText="1"/>
    </x:xf>
    <x:xf numFmtId="0" fontId="48" fillId="22" borderId="25" xfId="0" applyNumberFormat="1" applyFont="1" applyFill="1" applyBorder="1" applyAlignment="1">
      <x:alignment vertical="top" wrapText="1"/>
    </x:xf>
    <x:xf numFmtId="49" fontId="48" fillId="22" borderId="26" xfId="0" applyNumberFormat="1" applyFont="1" applyFill="1" applyBorder="1" applyAlignment="1">
      <x:alignment vertical="top" wrapText="1"/>
    </x:xf>
    <x:xf numFmtId="0" fontId="48" fillId="22" borderId="26" xfId="0" applyNumberFormat="1" applyFont="1" applyFill="1" applyBorder="1" applyAlignment="1">
      <x:alignment vertical="top" wrapText="1"/>
    </x:xf>
    <x:xf numFmtId="49" fontId="48" fillId="22" borderId="27" xfId="0" applyNumberFormat="1" applyFont="1" applyFill="1" applyBorder="1" applyAlignment="1">
      <x:alignment vertical="top" wrapText="1"/>
    </x:xf>
    <x:xf numFmtId="49" fontId="48" fillId="22" borderId="28" xfId="0" applyNumberFormat="1" applyFont="1" applyFill="1" applyBorder="1" applyAlignment="1">
      <x:alignment vertical="top" wrapText="1"/>
    </x:xf>
    <x:xf numFmtId="0" fontId="48" fillId="22" borderId="28" xfId="0" applyNumberFormat="1" applyFont="1" applyFill="1" applyBorder="1" applyAlignment="1">
      <x:alignment vertical="top" wrapText="1"/>
    </x:xf>
    <x:xf numFmtId="0" fontId="48" fillId="22" borderId="29" xfId="0" applyNumberFormat="1" applyFont="1" applyFill="1" applyBorder="1" applyAlignment="1">
      <x:alignment vertical="top" wrapText="1"/>
    </x:xf>
    <x:xf numFmtId="0" fontId="48" fillId="22" borderId="30" xfId="0" applyNumberFormat="1" applyFont="1" applyFill="1" applyBorder="1" applyAlignment="1">
      <x:alignment vertical="top" wrapText="1"/>
    </x:xf>
    <x:xf numFmtId="0" fontId="48" fillId="22" borderId="31" xfId="0" applyNumberFormat="1" applyFont="1" applyFill="1" applyBorder="1" applyAlignment="1">
      <x:alignment vertical="top" wrapText="1"/>
    </x:xf>
    <x:xf numFmtId="0" fontId="48" fillId="22" borderId="32" xfId="0" applyNumberFormat="1" applyFont="1" applyFill="1" applyBorder="1" applyAlignment="1">
      <x:alignment vertical="top" wrapText="1"/>
    </x:xf>
    <x:xf numFmtId="0" fontId="48" fillId="22" borderId="5" xfId="0" applyNumberFormat="1" applyFont="1" applyFill="1" applyBorder="1" applyAlignment="1">
      <x:alignment vertical="top" wrapText="1"/>
    </x:xf>
    <x:xf numFmtId="49" fontId="47" fillId="22" borderId="33" xfId="0" applyNumberFormat="1" applyFont="1" applyFill="1" applyBorder="1" applyAlignment="1">
      <x:alignment vertical="top" wrapText="1"/>
    </x:xf>
    <x:xf numFmtId="0" fontId="48" fillId="22" borderId="34" xfId="0" applyNumberFormat="1" applyFont="1" applyFill="1" applyBorder="1"/>
    <x:xf numFmtId="0" fontId="48" fillId="22" borderId="21" xfId="0" applyNumberFormat="1" applyFont="1" applyFill="1" applyBorder="1"/>
    <x:xf numFmtId="0" fontId="48" fillId="22" borderId="23" xfId="0" applyNumberFormat="1" applyFont="1" applyFill="1" applyBorder="1" applyAlignment="1">
      <x:alignment vertical="top" wrapText="1"/>
    </x:xf>
    <x:xf numFmtId="49" fontId="48" fillId="22" borderId="35" xfId="0" applyNumberFormat="1" applyFont="1" applyFill="1" applyBorder="1" applyAlignment="1">
      <x:alignment vertical="top" wrapText="1"/>
    </x:xf>
    <x:xf numFmtId="0" fontId="48" fillId="22" borderId="35" xfId="0" applyNumberFormat="1" applyFont="1" applyFill="1" applyBorder="1" applyAlignment="1">
      <x:alignment vertical="top" wrapText="1"/>
    </x:xf>
    <x:xf numFmtId="0" fontId="48" fillId="22" borderId="20" xfId="0" applyNumberFormat="1" applyFont="1" applyFill="1" applyBorder="1" applyAlignment="1">
      <x:alignment wrapText="1"/>
    </x:xf>
    <x:xf numFmtId="0" fontId="48" fillId="22" borderId="23" xfId="0" applyNumberFormat="1" applyFont="1" applyFill="1" applyBorder="1" applyAlignment="1">
      <x:alignment wrapText="1"/>
    </x:xf>
    <x:xf numFmtId="0" fontId="48" fillId="22" borderId="34" xfId="0" applyNumberFormat="1" applyFont="1" applyFill="1" applyBorder="1" applyAlignment="1">
      <x:alignment wrapText="1"/>
    </x:xf>
    <x:xf numFmtId="0" fontId="48" fillId="22" borderId="21" xfId="0" applyNumberFormat="1" applyFont="1" applyFill="1" applyBorder="1" applyAlignment="1">
      <x:alignment wrapText="1"/>
    </x:xf>
    <x:xf numFmtId="0" fontId="48" fillId="22" borderId="20" xfId="0" applyNumberFormat="1" applyFont="1" applyFill="1" applyBorder="1" applyAlignment="1">
      <x:alignment vertical="top" wrapText="1"/>
    </x:xf>
    <x:xf numFmtId="0" fontId="48" fillId="22" borderId="34" xfId="0" applyNumberFormat="1" applyFont="1" applyFill="1" applyBorder="1" applyAlignment="1">
      <x:alignment vertical="top" wrapText="1"/>
    </x:xf>
    <x:xf numFmtId="49" fontId="47" fillId="22" borderId="81" xfId="0" applyNumberFormat="1" applyFont="1" applyFill="1" applyBorder="1" applyAlignment="1">
      <x:alignment vertical="top" wrapText="1"/>
    </x:xf>
    <x:xf numFmtId="49" fontId="48" fillId="22" borderId="91" xfId="0" applyNumberFormat="1" applyFont="1" applyFill="1" applyBorder="1" applyAlignment="1">
      <x:alignment vertical="top" wrapText="1"/>
    </x:xf>
    <x:xf numFmtId="49" fontId="48" fillId="22" borderId="79" xfId="0" applyNumberFormat="1" applyFont="1" applyFill="1" applyBorder="1" applyAlignment="1">
      <x:alignment vertical="top" wrapText="1"/>
    </x:xf>
    <x:xf numFmtId="0" fontId="48" fillId="22" borderId="93" xfId="0" applyNumberFormat="1" applyFont="1" applyFill="1" applyBorder="1" applyAlignment="1">
      <x:alignment vertical="top" wrapText="1"/>
    </x:xf>
    <x:xf numFmtId="0" fontId="48" fillId="22" borderId="94" xfId="0" applyNumberFormat="1" applyFont="1" applyFill="1" applyBorder="1" applyAlignment="1">
      <x:alignment vertical="top" wrapText="1"/>
    </x:xf>
    <x:xf numFmtId="0" fontId="48" fillId="22" borderId="95" xfId="0" applyNumberFormat="1" applyFont="1" applyFill="1" applyBorder="1" applyAlignment="1">
      <x:alignment vertical="top" wrapText="1"/>
    </x:xf>
    <x:xf numFmtId="0" fontId="48" fillId="22" borderId="96" xfId="0" applyNumberFormat="1" applyFont="1" applyFill="1" applyBorder="1" applyAlignment="1">
      <x:alignment vertical="top" wrapText="1"/>
    </x:xf>
    <x:xf numFmtId="0" fontId="50" fillId="22" borderId="76" xfId="0" applyNumberFormat="1" applyFont="1" applyFill="1" applyBorder="1" applyAlignment="1">
      <x:alignment vertical="center" wrapText="1"/>
    </x:xf>
    <x:xf numFmtId="0" fontId="47" fillId="22" borderId="76" xfId="0" applyNumberFormat="1" applyFont="1" applyFill="1" applyBorder="1" applyAlignment="1">
      <x:alignment vertical="center" wrapText="1"/>
    </x:xf>
    <x:xf numFmtId="201" fontId="48" fillId="22" borderId="76" xfId="0" applyNumberFormat="1" applyFont="1" applyFill="1" applyBorder="1" applyAlignment="1">
      <x:alignment vertical="top" wrapText="1"/>
    </x:xf>
    <x:xf numFmtId="167" fontId="48" fillId="22" borderId="76" xfId="0" applyNumberFormat="1" applyFont="1" applyFill="1" applyBorder="1" applyAlignment="1">
      <x:alignment vertical="top" wrapText="1"/>
    </x:xf>
    <x:xf numFmtId="0" fontId="1" fillId="22" borderId="68" xfId="0" applyNumberFormat="1" applyFont="1" applyFill="1" applyBorder="1"/>
    <x:xf numFmtId="0" fontId="0" fillId="22" borderId="0" xfId="0" applyNumberFormat="1" applyFont="1" applyFill="1" applyBorder="1" applyAlignment="1">
      <x:alignment wrapText="1"/>
    </x:xf>
    <x:xf numFmtId="0" fontId="38" fillId="22" borderId="0" xfId="0" applyNumberFormat="1" applyFont="1" applyFill="1" applyBorder="1"/>
    <x:xf numFmtId="0" fontId="37" fillId="22" borderId="0" xfId="0" applyNumberFormat="1" applyFont="1" applyFill="1" applyBorder="1"/>
    <x:xf numFmtId="0" fontId="47" fillId="22" borderId="68" xfId="0" applyNumberFormat="1" applyFont="1" applyFill="1" applyBorder="1"/>
    <x:xf numFmtId="0" fontId="57" fillId="22" borderId="0" xfId="0" applyNumberFormat="1" applyFont="1" applyFill="1" applyBorder="1"/>
    <x:xf numFmtId="0" fontId="47" fillId="22" borderId="68" xfId="0" applyNumberFormat="1" applyFont="1" applyFill="1" applyBorder="1" applyAlignment="1">
      <x:alignment wrapText="1"/>
    </x:xf>
    <x:xf numFmtId="0" fontId="57" fillId="22" borderId="0" xfId="0" applyNumberFormat="1" applyFont="1" applyFill="1" applyBorder="1" applyAlignment="1">
      <x:alignment wrapText="1"/>
    </x:xf>
    <x:xf numFmtId="0" fontId="47" fillId="22" borderId="68" xfId="0" applyNumberFormat="1" applyFont="1" applyFill="1" applyBorder="1" applyAlignment="1">
      <x:alignment vertical="top" wrapText="1"/>
    </x:xf>
    <x:xf numFmtId="0" fontId="57" fillId="22" borderId="0" xfId="0" applyNumberFormat="1" applyFont="1" applyFill="1" applyBorder="1" applyAlignment="1">
      <x:alignment vertical="top" wrapText="1"/>
    </x:xf>
    <x:xf numFmtId="0" fontId="47" fillId="22" borderId="101" xfId="0" applyNumberFormat="1" applyFont="1" applyFill="1" applyBorder="1" applyAlignment="1">
      <x:alignment vertical="top" wrapText="1"/>
    </x:xf>
    <x:xf numFmtId="0" fontId="47" fillId="22" borderId="102" xfId="0" applyNumberFormat="1" applyFont="1" applyFill="1" applyBorder="1" applyAlignment="1">
      <x:alignment vertical="top" wrapText="1"/>
    </x:xf>
    <x:xf numFmtId="0" fontId="47" fillId="22" borderId="103" xfId="0" applyNumberFormat="1" applyFont="1" applyFill="1" applyBorder="1" applyAlignment="1">
      <x:alignment vertical="top" wrapText="1"/>
    </x:xf>
    <x:xf numFmtId="0" fontId="48" fillId="22" borderId="104" xfId="0" applyNumberFormat="1" applyFont="1" applyFill="1" applyBorder="1" applyAlignment="1">
      <x:alignment vertical="top" wrapText="1"/>
    </x:xf>
    <x:xf numFmtId="0" fontId="48" fillId="22" borderId="105" xfId="0" applyNumberFormat="1" applyFont="1" applyFill="1" applyBorder="1" applyAlignment="1">
      <x:alignment vertical="top" wrapText="1"/>
    </x:xf>
    <x:xf numFmtId="0" fontId="47" fillId="22" borderId="104" xfId="0" applyNumberFormat="1" applyFont="1" applyFill="1" applyBorder="1" applyAlignment="1">
      <x:alignment vertical="top" wrapText="1"/>
    </x:xf>
    <x:xf numFmtId="0" fontId="57" fillId="22" borderId="76" xfId="0" applyNumberFormat="1" applyFont="1" applyFill="1" applyBorder="1" applyAlignment="1">
      <x:alignment vertical="top" wrapText="1"/>
    </x:xf>
    <x:xf numFmtId="0" fontId="48" fillId="22" borderId="106" xfId="0" applyNumberFormat="1" applyFont="1" applyFill="1" applyBorder="1" applyAlignment="1">
      <x:alignment vertical="top" wrapText="1"/>
    </x:xf>
    <x:xf numFmtId="0" fontId="48" fillId="22" borderId="107" xfId="0" applyNumberFormat="1" applyFont="1" applyFill="1" applyBorder="1" applyAlignment="1">
      <x:alignment vertical="top" wrapText="1"/>
    </x:xf>
    <x:xf numFmtId="0" fontId="48" fillId="22" borderId="108" xfId="0" applyNumberFormat="1" applyFont="1" applyFill="1" applyBorder="1" applyAlignment="1">
      <x:alignment vertical="top" wrapText="1"/>
    </x:xf>
    <x:xf numFmtId="49" fontId="10" fillId="22" borderId="3" xfId="0" applyNumberFormat="1" applyFont="1" applyFill="1" applyBorder="1" applyAlignment="1">
      <x:alignment vertical="center"/>
    </x:xf>
    <x:xf numFmtId="49" fontId="1" fillId="22" borderId="3" xfId="0" applyNumberFormat="1" applyFont="1" applyFill="1" applyBorder="1" applyAlignment="1">
      <x:alignment horizontal="center" vertical="center" wrapText="1"/>
    </x:xf>
    <x:xf numFmtId="49" fontId="11" fillId="22" borderId="36" xfId="0" applyNumberFormat="1" applyFont="1" applyFill="1" applyBorder="1" applyAlignment="1">
      <x:alignment horizontal="center" vertical="center" wrapText="1"/>
    </x:xf>
    <x:xf numFmtId="49" fontId="10" fillId="22" borderId="37" xfId="0" applyNumberFormat="1" applyFont="1" applyFill="1" applyBorder="1" applyAlignment="1">
      <x:alignment horizontal="left" vertical="center"/>
    </x:xf>
    <x:xf numFmtId="0" fontId="10" fillId="22" borderId="38" xfId="0" applyNumberFormat="1" applyFont="1" applyFill="1" applyBorder="1" applyAlignment="1">
      <x:alignment horizontal="left" vertical="center"/>
    </x:xf>
    <x:xf numFmtId="0" fontId="10" fillId="22" borderId="39" xfId="0" applyNumberFormat="1" applyFont="1" applyFill="1" applyBorder="1" applyAlignment="1">
      <x:alignment horizontal="left" vertical="center"/>
    </x:xf>
    <x:xf numFmtId="0" fontId="12" fillId="22" borderId="3" xfId="0" applyNumberFormat="1" applyFont="1" applyFill="1" applyBorder="1" applyAlignment="1">
      <x:alignment horizontal="center" vertical="center"/>
    </x:xf>
    <x:xf numFmtId="49" fontId="0" fillId="22" borderId="3" xfId="0" applyNumberFormat="1" applyFont="1" applyFill="1" applyBorder="1" applyAlignment="1">
      <x:alignment horizontal="left" vertical="center"/>
    </x:xf>
    <x:xf numFmtId="0" fontId="0" fillId="22" borderId="3" xfId="0" applyNumberFormat="1" applyFont="1" applyFill="1" applyBorder="1" applyAlignment="1">
      <x:alignment horizontal="center" vertical="center" wrapText="1"/>
    </x:xf>
    <x:xf numFmtId="0" fontId="13" fillId="22" borderId="3" xfId="0" applyNumberFormat="1" applyFont="1" applyFill="1" applyBorder="1" applyAlignment="1">
      <x:alignment horizontal="center"/>
    </x:xf>
    <x:xf numFmtId="49" fontId="1" fillId="22" borderId="3" xfId="0" applyNumberFormat="1" applyFont="1" applyFill="1" applyBorder="1" applyAlignment="1">
      <x:alignment horizontal="left" vertical="center"/>
    </x:xf>
    <x:xf numFmtId="0" fontId="1" fillId="22" borderId="3" xfId="0" applyNumberFormat="1" applyFont="1" applyFill="1" applyBorder="1" applyAlignment="1">
      <x:alignment horizontal="center" vertical="center" wrapText="1"/>
    </x:xf>
    <x:xf numFmtId="0" fontId="14" fillId="22" borderId="3" xfId="0" applyNumberFormat="1" applyFont="1" applyFill="1" applyBorder="1" applyAlignment="1">
      <x:alignment horizontal="center" vertical="center" wrapText="1"/>
    </x:xf>
    <x:xf numFmtId="0" fontId="15" fillId="22" borderId="3" xfId="0" applyNumberFormat="1" applyFont="1" applyFill="1" applyBorder="1" applyAlignment="1">
      <x:alignment horizontal="center" vertical="center"/>
    </x:xf>
    <x:xf numFmtId="0" fontId="0" fillId="22" borderId="3" xfId="0" applyNumberFormat="1" applyFont="1" applyFill="1" applyBorder="1" applyAlignment="1">
      <x:alignment horizontal="center" vertical="center"/>
    </x:xf>
    <x:xf numFmtId="0" fontId="1" fillId="22" borderId="37" xfId="0" applyNumberFormat="1" applyFont="1" applyFill="1" applyBorder="1" applyAlignment="1">
      <x:alignment horizontal="left" vertical="center"/>
    </x:xf>
    <x:xf numFmtId="0" fontId="1" fillId="22" borderId="38" xfId="0" applyNumberFormat="1" applyFont="1" applyFill="1" applyBorder="1" applyAlignment="1">
      <x:alignment horizontal="left" vertical="center"/>
    </x:xf>
    <x:xf numFmtId="0" fontId="1" fillId="22" borderId="39" xfId="0" applyNumberFormat="1" applyFont="1" applyFill="1" applyBorder="1" applyAlignment="1">
      <x:alignment horizontal="left" vertical="center"/>
    </x:xf>
    <x:xf numFmtId="0" fontId="0" fillId="22" borderId="40" xfId="0" applyNumberFormat="1" applyFont="1" applyFill="1" applyBorder="1"/>
    <x:xf numFmtId="0" fontId="14" fillId="22" borderId="41" xfId="0" applyNumberFormat="1" applyFont="1" applyFill="1" applyBorder="1" applyAlignment="1">
      <x:alignment horizontal="center" vertical="center" wrapText="1"/>
    </x:xf>
    <x:xf numFmtId="49" fontId="16" fillId="22" borderId="5" xfId="0" applyNumberFormat="1" applyFont="1" applyFill="1" applyBorder="1" applyAlignment="1">
      <x:alignment vertical="center"/>
    </x:xf>
    <x:xf numFmtId="3" fontId="1" fillId="22" borderId="5" xfId="0" applyNumberFormat="1" applyFont="1" applyFill="1" applyBorder="1" applyAlignment="1">
      <x:alignment horizontal="center" vertical="center" wrapText="1"/>
    </x:xf>
    <x:xf numFmtId="0" fontId="0" fillId="22" borderId="5" xfId="0" applyNumberFormat="1" applyFont="1" applyFill="1" applyBorder="1"/>
    <x:xf numFmtId="49" fontId="16" fillId="22" borderId="2" xfId="0" applyNumberFormat="1" applyFont="1" applyFill="1" applyBorder="1" applyAlignment="1">
      <x:alignment vertical="center"/>
    </x:xf>
    <x:xf numFmtId="3" fontId="1" fillId="22" borderId="2" xfId="0" applyNumberFormat="1" applyFont="1" applyFill="1" applyBorder="1" applyAlignment="1">
      <x:alignment horizontal="center" vertical="center" wrapText="1"/>
    </x:xf>
    <x:xf numFmtId="49" fontId="17" fillId="22" borderId="2" xfId="0" applyNumberFormat="1" applyFont="1" applyFill="1" applyBorder="1" applyAlignment="1">
      <x:alignment wrapText="1"/>
    </x:xf>
    <x:xf numFmtId="0" fontId="17" fillId="22" borderId="2" xfId="0" applyNumberFormat="1" applyFont="1" applyFill="1" applyBorder="1" applyAlignment="1">
      <x:alignment wrapText="1"/>
    </x:xf>
    <x:xf numFmtId="0" fontId="18" fillId="22" borderId="1" xfId="0" applyNumberFormat="1" applyFont="1" applyFill="1" applyBorder="1" applyAlignment="1">
      <x:alignment vertical="center"/>
    </x:xf>
    <x:xf numFmtId="3" fontId="1" fillId="22" borderId="1" xfId="0" applyNumberFormat="1" applyFont="1" applyFill="1" applyBorder="1" applyAlignment="1">
      <x:alignment horizontal="center" vertical="center" wrapText="1"/>
    </x:xf>
    <x:xf numFmtId="0" fontId="0" fillId="22" borderId="1" xfId="0" applyNumberFormat="1" applyFont="1" applyFill="1" applyBorder="1"/>
    <x:xf numFmtId="49" fontId="10" fillId="22" borderId="3" xfId="0" applyNumberFormat="1" applyFont="1" applyFill="1" applyBorder="1" applyAlignment="1">
      <x:alignment horizontal="center" vertical="center" wrapText="1"/>
    </x:xf>
    <x:xf numFmtId="49" fontId="15" fillId="22" borderId="3" xfId="0" applyNumberFormat="1" applyFont="1" applyFill="1" applyBorder="1" applyAlignment="1">
      <x:alignment horizontal="center" vertical="center" wrapText="1"/>
    </x:xf>
    <x:xf numFmtId="0" fontId="0" fillId="22" borderId="5" xfId="0" applyNumberFormat="1" applyFont="1" applyFill="1" applyBorder="1" applyAlignment="1">
      <x:alignment horizontal="center"/>
    </x:xf>
    <x:xf numFmtId="0" fontId="12" fillId="22" borderId="20" xfId="0" applyNumberFormat="1" applyFont="1" applyFill="1" applyBorder="1" applyAlignment="1">
      <x:alignment horizontal="center" vertical="center"/>
    </x:xf>
    <x:xf numFmtId="0" fontId="0" fillId="22" borderId="2" xfId="0" applyNumberFormat="1" applyFont="1" applyFill="1" applyBorder="1" applyAlignment="1">
      <x:alignment horizontal="center"/>
    </x:xf>
    <x:xf numFmtId="0" fontId="12" fillId="22" borderId="2" xfId="0" applyNumberFormat="1" applyFont="1" applyFill="1" applyBorder="1" applyAlignment="1">
      <x:alignment horizontal="center" vertical="center"/>
    </x:xf>
    <x:xf numFmtId="0" fontId="17" fillId="22" borderId="2" xfId="0" applyNumberFormat="1" applyFont="1" applyFill="1" applyBorder="1" applyAlignment="1">
      <x:alignment vertical="center"/>
    </x:xf>
    <x:xf numFmtId="0" fontId="0" fillId="22" borderId="1" xfId="0" applyNumberFormat="1" applyFont="1" applyFill="1" applyBorder="1" applyAlignment="1">
      <x:alignment horizontal="center"/>
    </x:xf>
    <x:xf numFmtId="49" fontId="0" fillId="22" borderId="3" xfId="0" applyNumberFormat="1" applyFont="1" applyFill="1" applyBorder="1" applyAlignment="1">
      <x:alignment vertical="center"/>
    </x:xf>
    <x:xf numFmtId="49" fontId="1" fillId="22" borderId="3" xfId="0" applyNumberFormat="1" applyFont="1" applyFill="1" applyBorder="1" applyAlignment="1">
      <x:alignment vertical="center"/>
    </x:xf>
    <x:xf numFmtId="49" fontId="58" fillId="22" borderId="3" xfId="0" applyNumberFormat="1" applyFont="1" applyFill="1" applyBorder="1" applyAlignment="1">
      <x:alignment vertical="center"/>
    </x:xf>
    <x:xf numFmtId="49" fontId="58" fillId="22" borderId="3" xfId="0" applyNumberFormat="1" applyFont="1" applyFill="1" applyBorder="1" applyAlignment="1">
      <x:alignment horizontal="center" vertical="center" wrapText="1"/>
    </x:xf>
    <x:xf numFmtId="49" fontId="59" fillId="22" borderId="36" xfId="0" applyNumberFormat="1" applyFont="1" applyFill="1" applyBorder="1" applyAlignment="1">
      <x:alignment horizontal="center" vertical="center" wrapText="1"/>
    </x:xf>
    <x:xf numFmtId="49" fontId="58" fillId="22" borderId="37" xfId="0" applyNumberFormat="1" applyFont="1" applyFill="1" applyBorder="1" applyAlignment="1">
      <x:alignment horizontal="left" vertical="center"/>
    </x:xf>
    <x:xf numFmtId="0" fontId="58" fillId="22" borderId="38" xfId="0" applyNumberFormat="1" applyFont="1" applyFill="1" applyBorder="1" applyAlignment="1">
      <x:alignment horizontal="left" vertical="center"/>
    </x:xf>
    <x:xf numFmtId="0" fontId="58" fillId="22" borderId="39" xfId="0" applyNumberFormat="1" applyFont="1" applyFill="1" applyBorder="1" applyAlignment="1">
      <x:alignment horizontal="left" vertical="center"/>
    </x:xf>
    <x:xf numFmtId="0" fontId="60" fillId="22" borderId="3" xfId="0" applyNumberFormat="1" applyFont="1" applyFill="1" applyBorder="1" applyAlignment="1">
      <x:alignment horizontal="center" vertical="center"/>
    </x:xf>
    <x:xf numFmtId="49" fontId="61" fillId="22" borderId="3" xfId="0" applyNumberFormat="1" applyFont="1" applyFill="1" applyBorder="1" applyAlignment="1">
      <x:alignment horizontal="left" vertical="center"/>
    </x:xf>
    <x:xf numFmtId="0" fontId="61" fillId="22" borderId="3" xfId="0" applyNumberFormat="1" applyFont="1" applyFill="1" applyBorder="1" applyAlignment="1">
      <x:alignment horizontal="center" vertical="center" wrapText="1"/>
    </x:xf>
    <x:xf numFmtId="0" fontId="62" fillId="22" borderId="3" xfId="0" applyNumberFormat="1" applyFont="1" applyFill="1" applyBorder="1" applyAlignment="1">
      <x:alignment horizontal="center"/>
    </x:xf>
    <x:xf numFmtId="49" fontId="58" fillId="22" borderId="3" xfId="0" applyNumberFormat="1" applyFont="1" applyFill="1" applyBorder="1" applyAlignment="1">
      <x:alignment horizontal="left" vertical="center"/>
    </x:xf>
    <x:xf numFmtId="0" fontId="58" fillId="22" borderId="3" xfId="0" applyNumberFormat="1" applyFont="1" applyFill="1" applyBorder="1" applyAlignment="1">
      <x:alignment horizontal="center" vertical="center" wrapText="1"/>
    </x:xf>
    <x:xf numFmtId="0" fontId="63" fillId="22" borderId="3" xfId="0" applyNumberFormat="1" applyFont="1" applyFill="1" applyBorder="1" applyAlignment="1">
      <x:alignment horizontal="center" vertical="center" wrapText="1"/>
    </x:xf>
    <x:xf numFmtId="0" fontId="63" fillId="22" borderId="3" xfId="0" applyNumberFormat="1" applyFont="1" applyFill="1" applyBorder="1" applyAlignment="1">
      <x:alignment horizontal="center" vertical="center"/>
    </x:xf>
    <x:xf numFmtId="0" fontId="61" fillId="22" borderId="3" xfId="0" applyNumberFormat="1" applyFont="1" applyFill="1" applyBorder="1" applyAlignment="1">
      <x:alignment horizontal="center" vertical="center"/>
    </x:xf>
    <x:xf numFmtId="0" fontId="58" fillId="22" borderId="37" xfId="0" applyNumberFormat="1" applyFont="1" applyFill="1" applyBorder="1" applyAlignment="1">
      <x:alignment horizontal="left" vertical="center"/>
    </x:xf>
    <x:xf numFmtId="0" fontId="61" fillId="22" borderId="40" xfId="0" applyNumberFormat="1" applyFont="1" applyFill="1" applyBorder="1"/>
    <x:xf numFmtId="0" fontId="63" fillId="22" borderId="41" xfId="0" applyNumberFormat="1" applyFont="1" applyFill="1" applyBorder="1" applyAlignment="1">
      <x:alignment horizontal="center" vertical="center" wrapText="1"/>
    </x:xf>
    <x:xf numFmtId="49" fontId="64" fillId="22" borderId="5" xfId="0" applyNumberFormat="1" applyFont="1" applyFill="1" applyBorder="1" applyAlignment="1">
      <x:alignment vertical="center"/>
    </x:xf>
    <x:xf numFmtId="3" fontId="58" fillId="22" borderId="5" xfId="0" applyNumberFormat="1" applyFont="1" applyFill="1" applyBorder="1" applyAlignment="1">
      <x:alignment horizontal="center" vertical="center" wrapText="1"/>
    </x:xf>
    <x:xf numFmtId="0" fontId="61" fillId="22" borderId="5" xfId="0" applyNumberFormat="1" applyFont="1" applyFill="1" applyBorder="1"/>
    <x:xf numFmtId="0" fontId="61" fillId="22" borderId="20" xfId="0" applyNumberFormat="1" applyFont="1" applyFill="1" applyBorder="1"/>
    <x:xf numFmtId="49" fontId="64" fillId="22" borderId="2" xfId="0" applyNumberFormat="1" applyFont="1" applyFill="1" applyBorder="1" applyAlignment="1">
      <x:alignment vertical="center"/>
    </x:xf>
    <x:xf numFmtId="3" fontId="58" fillId="22" borderId="2" xfId="0" applyNumberFormat="1" applyFont="1" applyFill="1" applyBorder="1" applyAlignment="1">
      <x:alignment horizontal="center" vertical="center" wrapText="1"/>
    </x:xf>
    <x:xf numFmtId="0" fontId="61" fillId="22" borderId="2" xfId="0" applyNumberFormat="1" applyFont="1" applyFill="1" applyBorder="1"/>
    <x:xf numFmtId="49" fontId="65" fillId="22" borderId="2" xfId="0" applyNumberFormat="1" applyFont="1" applyFill="1" applyBorder="1" applyAlignment="1">
      <x:alignment wrapText="1"/>
    </x:xf>
    <x:xf numFmtId="0" fontId="65" fillId="22" borderId="2" xfId="0" applyNumberFormat="1" applyFont="1" applyFill="1" applyBorder="1" applyAlignment="1">
      <x:alignment wrapText="1"/>
    </x:xf>
    <x:xf numFmtId="0" fontId="65" fillId="22" borderId="1" xfId="0" applyNumberFormat="1" applyFont="1" applyFill="1" applyBorder="1" applyAlignment="1">
      <x:alignment vertical="center"/>
    </x:xf>
    <x:xf numFmtId="3" fontId="58" fillId="22" borderId="1" xfId="0" applyNumberFormat="1" applyFont="1" applyFill="1" applyBorder="1" applyAlignment="1">
      <x:alignment horizontal="center" vertical="center" wrapText="1"/>
    </x:xf>
    <x:xf numFmtId="0" fontId="61" fillId="22" borderId="1" xfId="0" applyNumberFormat="1" applyFont="1" applyFill="1" applyBorder="1"/>
    <x:xf numFmtId="49" fontId="63" fillId="22" borderId="3" xfId="0" applyNumberFormat="1" applyFont="1" applyFill="1" applyBorder="1" applyAlignment="1">
      <x:alignment horizontal="center" vertical="center" wrapText="1"/>
    </x:xf>
    <x:xf numFmtId="0" fontId="61" fillId="22" borderId="5" xfId="0" applyNumberFormat="1" applyFont="1" applyFill="1" applyBorder="1" applyAlignment="1">
      <x:alignment horizontal="center"/>
    </x:xf>
    <x:xf numFmtId="0" fontId="60" fillId="22" borderId="20" xfId="0" applyNumberFormat="1" applyFont="1" applyFill="1" applyBorder="1" applyAlignment="1">
      <x:alignment horizontal="center" vertical="center"/>
    </x:xf>
    <x:xf numFmtId="0" fontId="61" fillId="22" borderId="2" xfId="0" applyNumberFormat="1" applyFont="1" applyFill="1" applyBorder="1" applyAlignment="1">
      <x:alignment horizontal="center"/>
    </x:xf>
    <x:xf numFmtId="0" fontId="60" fillId="22" borderId="2" xfId="0" applyNumberFormat="1" applyFont="1" applyFill="1" applyBorder="1" applyAlignment="1">
      <x:alignment horizontal="center" vertical="center"/>
    </x:xf>
    <x:xf numFmtId="0" fontId="65" fillId="22" borderId="2" xfId="0" applyNumberFormat="1" applyFont="1" applyFill="1" applyBorder="1" applyAlignment="1">
      <x:alignment vertical="center"/>
    </x:xf>
    <x:xf numFmtId="0" fontId="61" fillId="22" borderId="1" xfId="0" applyNumberFormat="1" applyFont="1" applyFill="1" applyBorder="1" applyAlignment="1">
      <x:alignment horizontal="center"/>
    </x:xf>
    <x:xf numFmtId="49" fontId="61" fillId="22" borderId="3" xfId="0" applyNumberFormat="1" applyFont="1" applyFill="1" applyBorder="1" applyAlignment="1">
      <x:alignment vertical="center"/>
    </x:xf>
    <x:xf numFmtId="49" fontId="58" fillId="22" borderId="109" xfId="0" applyNumberFormat="1" applyFont="1" applyFill="1" applyBorder="1" applyAlignment="1">
      <x:alignment vertical="center"/>
    </x:xf>
    <x:xf numFmtId="49" fontId="58" fillId="22" borderId="110" xfId="0" applyNumberFormat="1" applyFont="1" applyFill="1" applyBorder="1" applyAlignment="1">
      <x:alignment horizontal="center" vertical="center" wrapText="1"/>
    </x:xf>
    <x:xf numFmtId="49" fontId="59" fillId="22" borderId="111" xfId="0" applyNumberFormat="1" applyFont="1" applyFill="1" applyBorder="1" applyAlignment="1">
      <x:alignment horizontal="center" vertical="center" wrapText="1"/>
    </x:xf>
    <x:xf numFmtId="49" fontId="58" fillId="22" borderId="112" xfId="0" applyNumberFormat="1" applyFont="1" applyFill="1" applyBorder="1" applyAlignment="1">
      <x:alignment horizontal="left" vertical="center"/>
    </x:xf>
    <x:xf numFmtId="0" fontId="58" fillId="22" borderId="76" xfId="0" applyNumberFormat="1" applyFont="1" applyFill="1" applyBorder="1" applyAlignment="1">
      <x:alignment horizontal="left" vertical="center"/>
    </x:xf>
    <x:xf numFmtId="0" fontId="60" fillId="22" borderId="113" xfId="0" applyNumberFormat="1" applyFont="1" applyFill="1" applyBorder="1" applyAlignment="1">
      <x:alignment horizontal="center" vertical="center"/>
    </x:xf>
    <x:xf numFmtId="49" fontId="61" fillId="22" borderId="112" xfId="0" applyNumberFormat="1" applyFont="1" applyFill="1" applyBorder="1" applyAlignment="1">
      <x:alignment horizontal="left" vertical="center"/>
    </x:xf>
    <x:xf numFmtId="0" fontId="61" fillId="22" borderId="76" xfId="0" applyNumberFormat="1" applyFont="1" applyFill="1" applyBorder="1" applyAlignment="1">
      <x:alignment horizontal="center" vertical="center" wrapText="1"/>
    </x:xf>
    <x:xf numFmtId="0" fontId="62" fillId="22" borderId="76" xfId="0" applyNumberFormat="1" applyFont="1" applyFill="1" applyBorder="1" applyAlignment="1">
      <x:alignment horizontal="center"/>
    </x:xf>
    <x:xf numFmtId="0" fontId="58" fillId="22" borderId="76" xfId="0" applyNumberFormat="1" applyFont="1" applyFill="1" applyBorder="1" applyAlignment="1">
      <x:alignment horizontal="center" vertical="center" wrapText="1"/>
    </x:xf>
    <x:xf numFmtId="0" fontId="63" fillId="22" borderId="113" xfId="0" applyNumberFormat="1" applyFont="1" applyFill="1" applyBorder="1" applyAlignment="1">
      <x:alignment horizontal="center" vertical="center" wrapText="1"/>
    </x:xf>
    <x:xf numFmtId="0" fontId="63" fillId="22" borderId="113" xfId="0" applyNumberFormat="1" applyFont="1" applyFill="1" applyBorder="1" applyAlignment="1">
      <x:alignment horizontal="center" vertical="center"/>
    </x:xf>
    <x:xf numFmtId="0" fontId="61" fillId="22" borderId="76" xfId="0" applyNumberFormat="1" applyFont="1" applyFill="1" applyBorder="1" applyAlignment="1">
      <x:alignment horizontal="center" vertical="center"/>
    </x:xf>
    <x:xf numFmtId="0" fontId="58" fillId="22" borderId="112" xfId="0" applyNumberFormat="1" applyFont="1" applyFill="1" applyBorder="1" applyAlignment="1">
      <x:alignment horizontal="left" vertical="center"/>
    </x:xf>
    <x:xf numFmtId="0" fontId="61" fillId="22" borderId="113" xfId="0" applyNumberFormat="1" applyFont="1" applyFill="1" applyBorder="1"/>
    <x:xf numFmtId="49" fontId="64" fillId="22" borderId="112" xfId="0" applyNumberFormat="1" applyFont="1" applyFill="1" applyBorder="1" applyAlignment="1">
      <x:alignment vertical="center"/>
    </x:xf>
    <x:xf numFmtId="3" fontId="58" fillId="22" borderId="76" xfId="0" applyNumberFormat="1" applyFont="1" applyFill="1" applyBorder="1" applyAlignment="1">
      <x:alignment horizontal="center" vertical="center" wrapText="1"/>
    </x:xf>
    <x:xf numFmtId="0" fontId="61" fillId="22" borderId="76" xfId="0" applyNumberFormat="1" applyFont="1" applyFill="1" applyBorder="1"/>
    <x:xf numFmtId="49" fontId="65" fillId="22" borderId="112" xfId="0" applyNumberFormat="1" applyFont="1" applyFill="1" applyBorder="1" applyAlignment="1">
      <x:alignment wrapText="1"/>
    </x:xf>
    <x:xf numFmtId="0" fontId="65" fillId="22" borderId="112" xfId="0" applyNumberFormat="1" applyFont="1" applyFill="1" applyBorder="1" applyAlignment="1">
      <x:alignment wrapText="1"/>
    </x:xf>
    <x:xf numFmtId="0" fontId="65" fillId="22" borderId="112" xfId="0" applyNumberFormat="1" applyFont="1" applyFill="1" applyBorder="1" applyAlignment="1">
      <x:alignment vertical="center"/>
    </x:xf>
    <x:xf numFmtId="49" fontId="58" fillId="22" borderId="112" xfId="0" applyNumberFormat="1" applyFont="1" applyFill="1" applyBorder="1" applyAlignment="1">
      <x:alignment vertical="center"/>
    </x:xf>
    <x:xf numFmtId="49" fontId="58" fillId="22" borderId="76" xfId="0" applyNumberFormat="1" applyFont="1" applyFill="1" applyBorder="1" applyAlignment="1">
      <x:alignment horizontal="center" vertical="center" wrapText="1"/>
    </x:xf>
    <x:xf numFmtId="49" fontId="63" fillId="22" borderId="113" xfId="0" applyNumberFormat="1" applyFont="1" applyFill="1" applyBorder="1" applyAlignment="1">
      <x:alignment horizontal="center" vertical="center" wrapText="1"/>
    </x:xf>
    <x:xf numFmtId="0" fontId="61" fillId="22" borderId="76" xfId="0" applyNumberFormat="1" applyFont="1" applyFill="1" applyBorder="1" applyAlignment="1">
      <x:alignment horizontal="center"/>
    </x:xf>
    <x:xf numFmtId="0" fontId="61" fillId="22" borderId="112" xfId="0" applyNumberFormat="1" applyFont="1" applyFill="1" applyBorder="1" applyAlignment="1">
      <x:alignment horizontal="center"/>
    </x:xf>
    <x:xf numFmtId="49" fontId="58" fillId="22" borderId="113" xfId="0" applyNumberFormat="1" applyFont="1" applyFill="1" applyBorder="1" applyAlignment="1">
      <x:alignment horizontal="center" vertical="center" wrapText="1"/>
    </x:xf>
    <x:xf numFmtId="49" fontId="61" fillId="22" borderId="112" xfId="0" applyNumberFormat="1" applyFont="1" applyFill="1" applyBorder="1" applyAlignment="1">
      <x:alignment vertical="center"/>
    </x:xf>
    <x:xf numFmtId="49" fontId="64" fillId="22" borderId="114" xfId="0" applyNumberFormat="1" applyFont="1" applyFill="1" applyBorder="1" applyAlignment="1">
      <x:alignment vertical="center"/>
    </x:xf>
    <x:xf numFmtId="0" fontId="61" fillId="22" borderId="115" xfId="0" applyNumberFormat="1" applyFont="1" applyFill="1" applyBorder="1" applyAlignment="1">
      <x:alignment horizontal="center"/>
    </x:xf>
    <x:xf numFmtId="0" fontId="61" fillId="22" borderId="115" xfId="0" applyNumberFormat="1" applyFont="1" applyFill="1" applyBorder="1"/>
    <x:xf numFmtId="0" fontId="61" fillId="22" borderId="116" xfId="0" applyNumberFormat="1" applyFont="1" applyFill="1" applyBorder="1"/>
    <x:xf numFmtId="49" fontId="58" fillId="22" borderId="109" xfId="0" applyNumberFormat="1" applyFont="1" applyFill="1" applyBorder="1" applyAlignment="1">
      <x:alignment vertical="center" wrapText="0"/>
    </x:xf>
    <x:xf numFmtId="49" fontId="58" fillId="22" borderId="110" xfId="0" applyNumberFormat="1" applyFont="1" applyFill="1" applyBorder="1" applyAlignment="1">
      <x:alignment horizontal="center" vertical="center" wrapText="0"/>
    </x:xf>
    <x:xf numFmtId="49" fontId="59" fillId="22" borderId="111" xfId="0" applyNumberFormat="1" applyFont="1" applyFill="1" applyBorder="1" applyAlignment="1">
      <x:alignment horizontal="center" vertical="center" wrapText="0"/>
    </x:xf>
    <x:xf numFmtId="49" fontId="58" fillId="22" borderId="112" xfId="0" applyNumberFormat="1" applyFont="1" applyFill="1" applyBorder="1" applyAlignment="1">
      <x:alignment horizontal="left" vertical="center" wrapText="0"/>
    </x:xf>
    <x:xf numFmtId="0" fontId="58" fillId="22" borderId="76" xfId="0" applyNumberFormat="1" applyFont="1" applyFill="1" applyBorder="1" applyAlignment="1">
      <x:alignment horizontal="left" vertical="center" wrapText="0"/>
    </x:xf>
    <x:xf numFmtId="0" fontId="60" fillId="22" borderId="113" xfId="0" applyNumberFormat="1" applyFont="1" applyFill="1" applyBorder="1" applyAlignment="1">
      <x:alignment horizontal="center" vertical="center" wrapText="0"/>
    </x:xf>
    <x:xf numFmtId="49" fontId="61" fillId="22" borderId="112" xfId="0" applyNumberFormat="1" applyFont="1" applyFill="1" applyBorder="1" applyAlignment="1">
      <x:alignment horizontal="left" vertical="center" wrapText="0"/>
    </x:xf>
    <x:xf numFmtId="0" fontId="61" fillId="22" borderId="76" xfId="0" applyNumberFormat="1" applyFont="1" applyFill="1" applyBorder="1" applyAlignment="1">
      <x:alignment horizontal="center" vertical="center" wrapText="0"/>
    </x:xf>
    <x:xf numFmtId="0" fontId="62" fillId="22" borderId="76" xfId="0" applyNumberFormat="1" applyFont="1" applyFill="1" applyBorder="1" applyAlignment="1">
      <x:alignment horizontal="center" wrapText="0"/>
    </x:xf>
    <x:xf numFmtId="0" fontId="58" fillId="22" borderId="76" xfId="0" applyNumberFormat="1" applyFont="1" applyFill="1" applyBorder="1" applyAlignment="1">
      <x:alignment horizontal="center" vertical="center" wrapText="0"/>
    </x:xf>
    <x:xf numFmtId="0" fontId="63" fillId="22" borderId="113" xfId="0" applyNumberFormat="1" applyFont="1" applyFill="1" applyBorder="1" applyAlignment="1">
      <x:alignment horizontal="center" vertical="center" wrapText="0"/>
    </x:xf>
    <x:xf numFmtId="0" fontId="58" fillId="22" borderId="112" xfId="0" applyNumberFormat="1" applyFont="1" applyFill="1" applyBorder="1" applyAlignment="1">
      <x:alignment horizontal="left" vertical="center" wrapText="0"/>
    </x:xf>
    <x:xf numFmtId="0" fontId="61" fillId="22" borderId="113" xfId="0" applyNumberFormat="1" applyFont="1" applyFill="1" applyBorder="1" applyAlignment="1">
      <x:alignment wrapText="0"/>
    </x:xf>
    <x:xf numFmtId="49" fontId="64" fillId="22" borderId="112" xfId="0" applyNumberFormat="1" applyFont="1" applyFill="1" applyBorder="1" applyAlignment="1">
      <x:alignment vertical="center" wrapText="0"/>
    </x:xf>
    <x:xf numFmtId="3" fontId="58" fillId="22" borderId="76" xfId="0" applyNumberFormat="1" applyFont="1" applyFill="1" applyBorder="1" applyAlignment="1">
      <x:alignment horizontal="center" vertical="center" wrapText="0"/>
    </x:xf>
    <x:xf numFmtId="0" fontId="61" fillId="22" borderId="76" xfId="0" applyNumberFormat="1" applyFont="1" applyFill="1" applyBorder="1" applyAlignment="1">
      <x:alignment wrapText="0"/>
    </x:xf>
    <x:xf numFmtId="49" fontId="65" fillId="22" borderId="112" xfId="0" applyNumberFormat="1" applyFont="1" applyFill="1" applyBorder="1" applyAlignment="1">
      <x:alignment wrapText="0"/>
    </x:xf>
    <x:xf numFmtId="0" fontId="65" fillId="22" borderId="112" xfId="0" applyNumberFormat="1" applyFont="1" applyFill="1" applyBorder="1" applyAlignment="1">
      <x:alignment wrapText="0"/>
    </x:xf>
    <x:xf numFmtId="0" fontId="65" fillId="22" borderId="112" xfId="0" applyNumberFormat="1" applyFont="1" applyFill="1" applyBorder="1" applyAlignment="1">
      <x:alignment vertical="center" wrapText="0"/>
    </x:xf>
    <x:xf numFmtId="49" fontId="58" fillId="22" borderId="112" xfId="0" applyNumberFormat="1" applyFont="1" applyFill="1" applyBorder="1" applyAlignment="1">
      <x:alignment vertical="center" wrapText="0"/>
    </x:xf>
    <x:xf numFmtId="49" fontId="58" fillId="22" borderId="76" xfId="0" applyNumberFormat="1" applyFont="1" applyFill="1" applyBorder="1" applyAlignment="1">
      <x:alignment horizontal="center" vertical="center" wrapText="0"/>
    </x:xf>
    <x:xf numFmtId="49" fontId="63" fillId="22" borderId="113" xfId="0" applyNumberFormat="1" applyFont="1" applyFill="1" applyBorder="1" applyAlignment="1">
      <x:alignment horizontal="center" vertical="center" wrapText="0"/>
    </x:xf>
    <x:xf numFmtId="0" fontId="61" fillId="22" borderId="76" xfId="0" applyNumberFormat="1" applyFont="1" applyFill="1" applyBorder="1" applyAlignment="1">
      <x:alignment horizontal="center" wrapText="0"/>
    </x:xf>
    <x:xf numFmtId="0" fontId="61" fillId="22" borderId="112" xfId="0" applyNumberFormat="1" applyFont="1" applyFill="1" applyBorder="1" applyAlignment="1">
      <x:alignment horizontal="center" wrapText="0"/>
    </x:xf>
    <x:xf numFmtId="49" fontId="58" fillId="22" borderId="113" xfId="0" applyNumberFormat="1" applyFont="1" applyFill="1" applyBorder="1" applyAlignment="1">
      <x:alignment horizontal="center" vertical="center" wrapText="0"/>
    </x:xf>
    <x:xf numFmtId="49" fontId="61" fillId="22" borderId="112" xfId="0" applyNumberFormat="1" applyFont="1" applyFill="1" applyBorder="1" applyAlignment="1">
      <x:alignment vertical="center" wrapText="0"/>
    </x:xf>
    <x:xf numFmtId="49" fontId="64" fillId="22" borderId="114" xfId="0" applyNumberFormat="1" applyFont="1" applyFill="1" applyBorder="1" applyAlignment="1">
      <x:alignment vertical="center" wrapText="0"/>
    </x:xf>
    <x:xf numFmtId="0" fontId="61" fillId="22" borderId="115" xfId="0" applyNumberFormat="1" applyFont="1" applyFill="1" applyBorder="1" applyAlignment="1">
      <x:alignment horizontal="center" wrapText="0"/>
    </x:xf>
    <x:xf numFmtId="0" fontId="61" fillId="22" borderId="115" xfId="0" applyNumberFormat="1" applyFont="1" applyFill="1" applyBorder="1" applyAlignment="1">
      <x:alignment wrapText="0"/>
    </x:xf>
    <x:xf numFmtId="0" fontId="61" fillId="22" borderId="116" xfId="0" applyNumberFormat="1" applyFont="1" applyFill="1" applyBorder="1" applyAlignment="1">
      <x:alignment wrapText="0"/>
    </x:xf>
    <x:xf numFmtId="49" fontId="58" fillId="22" borderId="109" xfId="0" applyNumberFormat="1" applyFont="1" applyFill="1" applyBorder="1" applyAlignment="1">
      <x:alignment vertical="top" wrapText="0"/>
    </x:xf>
    <x:xf numFmtId="49" fontId="58" fillId="22" borderId="110" xfId="0" applyNumberFormat="1" applyFont="1" applyFill="1" applyBorder="1" applyAlignment="1">
      <x:alignment horizontal="center" vertical="top" wrapText="0"/>
    </x:xf>
    <x:xf numFmtId="49" fontId="59" fillId="22" borderId="111" xfId="0" applyNumberFormat="1" applyFont="1" applyFill="1" applyBorder="1" applyAlignment="1">
      <x:alignment horizontal="center" vertical="top" wrapText="0"/>
    </x:xf>
    <x:xf numFmtId="49" fontId="58" fillId="22" borderId="112" xfId="0" applyNumberFormat="1" applyFont="1" applyFill="1" applyBorder="1" applyAlignment="1">
      <x:alignment horizontal="left" vertical="top" wrapText="0"/>
    </x:xf>
    <x:xf numFmtId="0" fontId="58" fillId="22" borderId="76" xfId="0" applyNumberFormat="1" applyFont="1" applyFill="1" applyBorder="1" applyAlignment="1">
      <x:alignment horizontal="left" vertical="top" wrapText="0"/>
    </x:xf>
    <x:xf numFmtId="0" fontId="60" fillId="22" borderId="113" xfId="0" applyNumberFormat="1" applyFont="1" applyFill="1" applyBorder="1" applyAlignment="1">
      <x:alignment horizontal="center" vertical="top" wrapText="0"/>
    </x:xf>
    <x:xf numFmtId="49" fontId="61" fillId="22" borderId="112" xfId="0" applyNumberFormat="1" applyFont="1" applyFill="1" applyBorder="1" applyAlignment="1">
      <x:alignment horizontal="left" vertical="top" wrapText="0"/>
    </x:xf>
    <x:xf numFmtId="0" fontId="61" fillId="22" borderId="76" xfId="0" applyNumberFormat="1" applyFont="1" applyFill="1" applyBorder="1" applyAlignment="1">
      <x:alignment horizontal="center" vertical="top" wrapText="0"/>
    </x:xf>
    <x:xf numFmtId="0" fontId="62" fillId="22" borderId="76" xfId="0" applyNumberFormat="1" applyFont="1" applyFill="1" applyBorder="1" applyAlignment="1">
      <x:alignment horizontal="center" vertical="top" wrapText="0"/>
    </x:xf>
    <x:xf numFmtId="0" fontId="58" fillId="22" borderId="76" xfId="0" applyNumberFormat="1" applyFont="1" applyFill="1" applyBorder="1" applyAlignment="1">
      <x:alignment horizontal="center" vertical="top" wrapText="0"/>
    </x:xf>
    <x:xf numFmtId="0" fontId="63" fillId="22" borderId="113" xfId="0" applyNumberFormat="1" applyFont="1" applyFill="1" applyBorder="1" applyAlignment="1">
      <x:alignment horizontal="center" vertical="top" wrapText="0"/>
    </x:xf>
    <x:xf numFmtId="0" fontId="58" fillId="22" borderId="112" xfId="0" applyNumberFormat="1" applyFont="1" applyFill="1" applyBorder="1" applyAlignment="1">
      <x:alignment horizontal="left" vertical="top" wrapText="0"/>
    </x:xf>
    <x:xf numFmtId="0" fontId="61" fillId="22" borderId="113" xfId="0" applyNumberFormat="1" applyFont="1" applyFill="1" applyBorder="1" applyAlignment="1">
      <x:alignment vertical="top" wrapText="0"/>
    </x:xf>
    <x:xf numFmtId="49" fontId="64" fillId="22" borderId="112" xfId="0" applyNumberFormat="1" applyFont="1" applyFill="1" applyBorder="1" applyAlignment="1">
      <x:alignment vertical="top" wrapText="0"/>
    </x:xf>
    <x:xf numFmtId="3" fontId="58" fillId="22" borderId="76" xfId="0" applyNumberFormat="1" applyFont="1" applyFill="1" applyBorder="1" applyAlignment="1">
      <x:alignment horizontal="center" vertical="top" wrapText="0"/>
    </x:xf>
    <x:xf numFmtId="0" fontId="61" fillId="22" borderId="76" xfId="0" applyNumberFormat="1" applyFont="1" applyFill="1" applyBorder="1" applyAlignment="1">
      <x:alignment vertical="top" wrapText="0"/>
    </x:xf>
    <x:xf numFmtId="49" fontId="65" fillId="22" borderId="112" xfId="0" applyNumberFormat="1" applyFont="1" applyFill="1" applyBorder="1" applyAlignment="1">
      <x:alignment vertical="top" wrapText="0"/>
    </x:xf>
    <x:xf numFmtId="0" fontId="65" fillId="22" borderId="112" xfId="0" applyNumberFormat="1" applyFont="1" applyFill="1" applyBorder="1" applyAlignment="1">
      <x:alignment vertical="top" wrapText="0"/>
    </x:xf>
    <x:xf numFmtId="49" fontId="58" fillId="22" borderId="112" xfId="0" applyNumberFormat="1" applyFont="1" applyFill="1" applyBorder="1" applyAlignment="1">
      <x:alignment vertical="top" wrapText="0"/>
    </x:xf>
    <x:xf numFmtId="49" fontId="58" fillId="22" borderId="76" xfId="0" applyNumberFormat="1" applyFont="1" applyFill="1" applyBorder="1" applyAlignment="1">
      <x:alignment horizontal="center" vertical="top" wrapText="0"/>
    </x:xf>
    <x:xf numFmtId="49" fontId="63" fillId="22" borderId="113" xfId="0" applyNumberFormat="1" applyFont="1" applyFill="1" applyBorder="1" applyAlignment="1">
      <x:alignment horizontal="center" vertical="top" wrapText="0"/>
    </x:xf>
    <x:xf numFmtId="0" fontId="61" fillId="22" borderId="112" xfId="0" applyNumberFormat="1" applyFont="1" applyFill="1" applyBorder="1" applyAlignment="1">
      <x:alignment horizontal="center" vertical="top" wrapText="0"/>
    </x:xf>
    <x:xf numFmtId="49" fontId="58" fillId="22" borderId="113" xfId="0" applyNumberFormat="1" applyFont="1" applyFill="1" applyBorder="1" applyAlignment="1">
      <x:alignment horizontal="center" vertical="top" wrapText="0"/>
    </x:xf>
    <x:xf numFmtId="49" fontId="61" fillId="22" borderId="112" xfId="0" applyNumberFormat="1" applyFont="1" applyFill="1" applyBorder="1" applyAlignment="1">
      <x:alignment vertical="top" wrapText="0"/>
    </x:xf>
    <x:xf numFmtId="49" fontId="64" fillId="22" borderId="114" xfId="0" applyNumberFormat="1" applyFont="1" applyFill="1" applyBorder="1" applyAlignment="1">
      <x:alignment vertical="top" wrapText="0"/>
    </x:xf>
    <x:xf numFmtId="0" fontId="61" fillId="22" borderId="115" xfId="0" applyNumberFormat="1" applyFont="1" applyFill="1" applyBorder="1" applyAlignment="1">
      <x:alignment horizontal="center" vertical="top" wrapText="0"/>
    </x:xf>
    <x:xf numFmtId="0" fontId="61" fillId="22" borderId="115" xfId="0" applyNumberFormat="1" applyFont="1" applyFill="1" applyBorder="1" applyAlignment="1">
      <x:alignment vertical="top" wrapText="0"/>
    </x:xf>
    <x:xf numFmtId="0" fontId="61" fillId="22" borderId="116" xfId="0" applyNumberFormat="1" applyFont="1" applyFill="1" applyBorder="1" applyAlignment="1">
      <x:alignment vertical="top" wrapText="0"/>
    </x:xf>
    <x:xf numFmtId="0" fontId="19" fillId="22" borderId="7" xfId="0" applyNumberFormat="1" applyFont="1" applyFill="1" applyBorder="1" applyAlignment="1">
      <x:alignment horizontal="center"/>
    </x:xf>
    <x:xf numFmtId="0" fontId="19" fillId="22" borderId="7" xfId="0" applyNumberFormat="1" applyFont="1" applyFill="1" applyBorder="1"/>
    <x:xf numFmtId="49" fontId="20" fillId="22" borderId="7" xfId="0" applyNumberFormat="1" applyFont="1" applyFill="1" applyBorder="1"/>
    <x:xf numFmtId="49" fontId="0" fillId="22" borderId="42" xfId="0" applyNumberFormat="1" applyFont="1" applyFill="1" applyBorder="1"/>
    <x:xf numFmtId="0" fontId="12" fillId="22" borderId="42" xfId="0" applyNumberFormat="1" applyFont="1" applyFill="1" applyBorder="1"/>
    <x:xf numFmtId="0" fontId="12" fillId="22" borderId="20" xfId="0" applyNumberFormat="1" applyFont="1" applyFill="1" applyBorder="1"/>
    <x:xf numFmtId="49" fontId="21" fillId="22" borderId="41" xfId="0" applyNumberFormat="1" applyFont="1" applyFill="1" applyBorder="1" applyAlignment="1">
      <x:alignment horizontal="left" vertical="center"/>
    </x:xf>
    <x:xf numFmtId="49" fontId="15" fillId="22" borderId="37" xfId="0" applyNumberFormat="1" applyFont="1" applyFill="1" applyBorder="1" applyAlignment="1">
      <x:alignment horizontal="center" vertical="center" wrapText="1"/>
    </x:xf>
    <x:xf numFmtId="0" fontId="15" fillId="22" borderId="38" xfId="0" applyNumberFormat="1" applyFont="1" applyFill="1" applyBorder="1" applyAlignment="1">
      <x:alignment horizontal="center" vertical="center" wrapText="1"/>
    </x:xf>
    <x:xf numFmtId="0" fontId="15" fillId="22" borderId="39" xfId="0" applyNumberFormat="1" applyFont="1" applyFill="1" applyBorder="1" applyAlignment="1">
      <x:alignment horizontal="center" vertical="center" wrapText="1"/>
    </x:xf>
    <x:xf numFmtId="0" fontId="12" fillId="22" borderId="4" xfId="0" applyNumberFormat="1" applyFont="1" applyFill="1" applyBorder="1"/>
    <x:xf numFmtId="0" fontId="12" fillId="22" borderId="1" xfId="0" applyNumberFormat="1" applyFont="1" applyFill="1" applyBorder="1"/>
    <x:xf numFmtId="0" fontId="21" fillId="22" borderId="43" xfId="0" applyNumberFormat="1" applyFont="1" applyFill="1" applyBorder="1" applyAlignment="1">
      <x:alignment horizontal="center" vertical="center"/>
    </x:xf>
    <x:xf numFmtId="49" fontId="14" fillId="22" borderId="3" xfId="0" applyNumberFormat="1" applyFont="1" applyFill="1" applyBorder="1" applyAlignment="1">
      <x:alignment horizontal="center" vertical="center" wrapText="1"/>
    </x:xf>
    <x:xf numFmtId="0" fontId="12" fillId="22" borderId="44" xfId="0" applyNumberFormat="1" applyFont="1" applyFill="1" applyBorder="1"/>
    <x:xf numFmtId="0" fontId="0" fillId="22" borderId="4" xfId="0" applyNumberFormat="1" applyFont="1" applyFill="1" applyBorder="1"/>
    <x:xf numFmtId="49" fontId="12" fillId="22" borderId="3" xfId="0" applyNumberFormat="1" applyFont="1" applyFill="1" applyBorder="1" applyAlignment="1">
      <x:alignment vertical="center"/>
    </x:xf>
    <x:xf numFmtId="3" fontId="12" fillId="22" borderId="3" xfId="0" applyNumberFormat="1" applyFont="1" applyFill="1" applyBorder="1" applyAlignment="1">
      <x:alignment horizontal="center" vertical="center"/>
    </x:xf>
    <x:xf numFmtId="9" fontId="12" fillId="22" borderId="3" xfId="0" applyNumberFormat="1" applyFont="1" applyFill="1" applyBorder="1" applyAlignment="1">
      <x:alignment horizontal="center" vertical="center"/>
    </x:xf>
    <x:xf numFmtId="49" fontId="15" fillId="22" borderId="3" xfId="0" applyNumberFormat="1" applyFont="1" applyFill="1" applyBorder="1" applyAlignment="1">
      <x:alignment horizontal="center" vertical="center"/>
    </x:xf>
    <x:xf numFmtId="3" fontId="15" fillId="22" borderId="3" xfId="0" applyNumberFormat="1" applyFont="1" applyFill="1" applyBorder="1" applyAlignment="1">
      <x:alignment horizontal="center" vertical="center"/>
    </x:xf>
    <x:xf numFmtId="9" fontId="14" fillId="22" borderId="3" xfId="0" applyNumberFormat="1" applyFont="1" applyFill="1" applyBorder="1" applyAlignment="1">
      <x:alignment horizontal="center" vertical="center"/>
    </x:xf>
    <x:xf numFmtId="49" fontId="22" fillId="22" borderId="5" xfId="0" applyNumberFormat="1" applyFont="1" applyFill="1" applyBorder="1" applyAlignment="1">
      <x:alignment vertical="center"/>
    </x:xf>
    <x:xf numFmtId="0" fontId="12" fillId="22" borderId="5" xfId="0" applyNumberFormat="1" applyFont="1" applyFill="1" applyBorder="1"/>
    <x:xf numFmtId="0" fontId="23" fillId="22" borderId="5" xfId="0" applyNumberFormat="1" applyFont="1" applyFill="1" applyBorder="1" applyAlignment="1">
      <x:alignment vertical="center" wrapText="1"/>
    </x:xf>
    <x:xf numFmtId="0" fontId="12" fillId="22" borderId="2" xfId="0" applyNumberFormat="1" applyFont="1" applyFill="1" applyBorder="1"/>
    <x:xf numFmtId="49" fontId="15" fillId="22" borderId="3" xfId="0" applyNumberFormat="1" applyFont="1" applyFill="1" applyBorder="1" applyAlignment="1">
      <x:alignment vertical="center"/>
    </x:xf>
    <x:xf numFmtId="49" fontId="12" fillId="22" borderId="3" xfId="0" applyNumberFormat="1" applyFont="1" applyFill="1" applyBorder="1" applyAlignment="1">
      <x:alignment horizontal="left" vertical="center"/>
    </x:xf>
    <x:xf numFmtId="165" fontId="12" fillId="22" borderId="3" xfId="0" applyNumberFormat="1" applyFont="1" applyFill="1" applyBorder="1" applyAlignment="1">
      <x:alignment horizontal="center" vertical="center"/>
    </x:xf>
    <x:xf numFmtId="49" fontId="24" fillId="22" borderId="2" xfId="0" applyNumberFormat="1" applyFont="1" applyFill="1" applyBorder="1" applyAlignment="1">
      <x:alignment wrapText="1"/>
    </x:xf>
    <x:xf numFmtId="0" fontId="25" fillId="22" borderId="2" xfId="0" applyNumberFormat="1" applyFont="1" applyFill="1" applyBorder="1" applyAlignment="1">
      <x:alignment vertical="center"/>
    </x:xf>
    <x:xf numFmtId="0" fontId="26" fillId="22" borderId="1" xfId="0" applyNumberFormat="1" applyFont="1" applyFill="1" applyBorder="1" applyAlignment="1">
      <x:alignment vertical="center"/>
    </x:xf>
    <x:xf numFmtId="49" fontId="15" fillId="22" borderId="3" xfId="0" applyNumberFormat="1" applyFont="1" applyFill="1" applyBorder="1" applyAlignment="1">
      <x:alignment vertical="center" wrapText="1"/>
    </x:xf>
    <x:xf numFmtId="0" fontId="16" fillId="22" borderId="2" xfId="0" applyNumberFormat="1" applyFont="1" applyFill="1" applyBorder="1" applyAlignment="1">
      <x:alignment vertical="center"/>
    </x:xf>
    <x:xf numFmtId="0" fontId="26" fillId="22" borderId="2" xfId="0" applyNumberFormat="1" applyFont="1" applyFill="1" applyBorder="1" applyAlignment="1">
      <x:alignment vertical="center" wrapText="1"/>
    </x:xf>
    <x:xf numFmtId="0" fontId="16" fillId="22" borderId="1" xfId="0" applyNumberFormat="1" applyFont="1" applyFill="1" applyBorder="1" applyAlignment="1">
      <x:alignment vertical="center"/>
    </x:xf>
    <x:xf numFmtId="49" fontId="12" fillId="22" borderId="3" xfId="0" applyNumberFormat="1" applyFont="1" applyFill="1" applyBorder="1" applyAlignment="1">
      <x:alignment vertical="center" wrapText="1"/>
    </x:xf>
    <x:xf numFmtId="49" fontId="14" fillId="22" borderId="3" xfId="0" applyNumberFormat="1" applyFont="1" applyFill="1" applyBorder="1" applyAlignment="1">
      <x:alignment horizontal="center" vertical="center"/>
    </x:xf>
    <x:xf numFmtId="0" fontId="14" fillId="22" borderId="3" xfId="0" applyNumberFormat="1" applyFont="1" applyFill="1" applyBorder="1" applyAlignment="1">
      <x:alignment horizontal="center" vertical="center"/>
    </x:xf>
    <x:xf numFmtId="0" fontId="16" fillId="22" borderId="45" xfId="0" applyNumberFormat="1" applyFont="1" applyFill="1" applyBorder="1"/>
    <x:xf numFmtId="0" fontId="12" fillId="22" borderId="45" xfId="0" applyNumberFormat="1" applyFont="1" applyFill="1" applyBorder="1"/>
    <x:xf numFmtId="0" fontId="0" fillId="22" borderId="45" xfId="0" applyNumberFormat="1" applyFont="1" applyFill="1" applyBorder="1"/>
    <x:xf numFmtId="49" fontId="2" fillId="22" borderId="19" xfId="0" applyNumberFormat="1" applyFont="1" applyFill="1" applyBorder="1" applyAlignment="1">
      <x:alignment horizontal="left" vertical="center"/>
    </x:xf>
    <x:xf numFmtId="0" fontId="12" fillId="22" borderId="0" xfId="0" applyNumberFormat="1" applyFont="1" applyFill="1" applyBorder="1" applyAlignment="1">
      <x:alignment horizontal="center"/>
    </x:xf>
    <x:xf numFmtId="0" fontId="12" fillId="22" borderId="0" xfId="0" applyNumberFormat="1" applyFont="1" applyFill="1" applyBorder="1"/>
    <x:xf numFmtId="49" fontId="20" fillId="22" borderId="0" xfId="0" applyNumberFormat="1" applyFont="1" applyFill="1" applyBorder="1"/>
    <x:xf numFmtId="0" fontId="12" fillId="22" borderId="47" xfId="0" applyNumberFormat="1" applyFont="1" applyFill="1" applyBorder="1"/>
    <x:xf numFmtId="0" fontId="14" fillId="22" borderId="42" xfId="0" applyNumberFormat="1" applyFont="1" applyFill="1" applyBorder="1" applyAlignment="1">
      <x:alignment vertical="center"/>
    </x:xf>
    <x:xf numFmtId="49" fontId="21" fillId="22" borderId="41" xfId="0" applyNumberFormat="1" applyFont="1" applyFill="1" applyBorder="1" applyAlignment="1">
      <x:alignment horizontal="center" vertical="center"/>
    </x:xf>
    <x:xf numFmtId="0" fontId="12" fillId="22" borderId="48" xfId="0" applyNumberFormat="1" applyFont="1" applyFill="1" applyBorder="1"/>
    <x:xf numFmtId="0" fontId="26" fillId="22" borderId="2" xfId="0" applyNumberFormat="1" applyFont="1" applyFill="1" applyBorder="1" applyAlignment="1">
      <x:alignment vertical="center"/>
    </x:xf>
    <x:xf numFmtId="0" fontId="12" fillId="22" borderId="2" xfId="0" applyNumberFormat="1" applyFont="1" applyFill="1" applyBorder="1" applyAlignment="1">
      <x:alignment horizontal="center"/>
    </x:xf>
    <x:xf numFmtId="0" fontId="12" fillId="22" borderId="1" xfId="0" applyNumberFormat="1" applyFont="1" applyFill="1" applyBorder="1" applyAlignment="1">
      <x:alignment horizontal="center"/>
    </x:xf>
    <x:xf numFmtId="165" fontId="12" fillId="22" borderId="3" xfId="0" applyNumberFormat="1" applyFont="1" applyFill="1" applyBorder="1" applyAlignment="1">
      <x:alignment horizontal="center" vertical="center" wrapText="1"/>
    </x:xf>
    <x:xf numFmtId="49" fontId="15" fillId="22" borderId="1" xfId="0" applyNumberFormat="1" applyFont="1" applyFill="1" applyBorder="1" applyAlignment="1">
      <x:alignment vertical="center"/>
    </x:xf>
    <x:xf numFmtId="0" fontId="26" fillId="22" borderId="5" xfId="0" applyNumberFormat="1" applyFont="1" applyFill="1" applyBorder="1"/>
    <x:xf numFmtId="0" fontId="23" fillId="22" borderId="4" xfId="0" applyNumberFormat="1" applyFont="1" applyFill="1" applyBorder="1" applyAlignment="1">
      <x:alignment vertical="center" wrapText="1"/>
    </x:xf>
    <x:xf numFmtId="49" fontId="16" fillId="22" borderId="5" xfId="0" applyNumberFormat="1" applyFont="1" applyFill="1" applyBorder="1"/>
    <x:xf numFmtId="3" fontId="14" fillId="22" borderId="3" xfId="0" applyNumberFormat="1" applyFont="1" applyFill="1" applyBorder="1" applyAlignment="1">
      <x:alignment horizontal="center" vertical="center"/>
    </x:xf>
    <x:xf numFmtId="49" fontId="16" fillId="22" borderId="2" xfId="0" applyNumberFormat="1" applyFont="1" applyFill="1" applyBorder="1"/>
    <x:xf numFmtId="49" fontId="63" fillId="22" borderId="6" xfId="0" applyNumberFormat="1" applyFont="1" applyFill="1" applyBorder="1" applyAlignment="1">
      <x:alignment horizontal="left" vertical="center"/>
    </x:xf>
    <x:xf numFmtId="0" fontId="60" fillId="22" borderId="7" xfId="0" applyNumberFormat="1" applyFont="1" applyFill="1" applyBorder="1" applyAlignment="1">
      <x:alignment horizontal="center"/>
    </x:xf>
    <x:xf numFmtId="0" fontId="60" fillId="22" borderId="7" xfId="0" applyNumberFormat="1" applyFont="1" applyFill="1" applyBorder="1"/>
    <x:xf numFmtId="49" fontId="63" fillId="22" borderId="7" xfId="0" applyNumberFormat="1" applyFont="1" applyFill="1" applyBorder="1"/>
    <x:xf numFmtId="0" fontId="61" fillId="22" borderId="8" xfId="0" applyNumberFormat="1" applyFont="1" applyFill="1" applyBorder="1"/>
    <x:xf numFmtId="49" fontId="61" fillId="22" borderId="42" xfId="0" applyNumberFormat="1" applyFont="1" applyFill="1" applyBorder="1"/>
    <x:xf numFmtId="0" fontId="60" fillId="22" borderId="42" xfId="0" applyNumberFormat="1" applyFont="1" applyFill="1" applyBorder="1"/>
    <x:xf numFmtId="0" fontId="60" fillId="22" borderId="20" xfId="0" applyNumberFormat="1" applyFont="1" applyFill="1" applyBorder="1"/>
    <x:xf numFmtId="49" fontId="63" fillId="22" borderId="41" xfId="0" applyNumberFormat="1" applyFont="1" applyFill="1" applyBorder="1" applyAlignment="1">
      <x:alignment horizontal="left" vertical="center"/>
    </x:xf>
    <x:xf numFmtId="49" fontId="63" fillId="22" borderId="37" xfId="0" applyNumberFormat="1" applyFont="1" applyFill="1" applyBorder="1" applyAlignment="1">
      <x:alignment horizontal="center" vertical="center" wrapText="1"/>
    </x:xf>
    <x:xf numFmtId="0" fontId="63" fillId="22" borderId="38" xfId="0" applyNumberFormat="1" applyFont="1" applyFill="1" applyBorder="1" applyAlignment="1">
      <x:alignment horizontal="center" vertical="center" wrapText="1"/>
    </x:xf>
    <x:xf numFmtId="0" fontId="63" fillId="22" borderId="39" xfId="0" applyNumberFormat="1" applyFont="1" applyFill="1" applyBorder="1" applyAlignment="1">
      <x:alignment horizontal="center" vertical="center" wrapText="1"/>
    </x:xf>
    <x:xf numFmtId="0" fontId="60" fillId="22" borderId="4" xfId="0" applyNumberFormat="1" applyFont="1" applyFill="1" applyBorder="1"/>
    <x:xf numFmtId="0" fontId="60" fillId="22" borderId="1" xfId="0" applyNumberFormat="1" applyFont="1" applyFill="1" applyBorder="1"/>
    <x:xf numFmtId="0" fontId="63" fillId="22" borderId="43" xfId="0" applyNumberFormat="1" applyFont="1" applyFill="1" applyBorder="1" applyAlignment="1">
      <x:alignment horizontal="center" vertical="center"/>
    </x:xf>
    <x:xf numFmtId="0" fontId="60" fillId="22" borderId="44" xfId="0" applyNumberFormat="1" applyFont="1" applyFill="1" applyBorder="1"/>
    <x:xf numFmtId="0" fontId="61" fillId="22" borderId="4" xfId="0" applyNumberFormat="1" applyFont="1" applyFill="1" applyBorder="1"/>
    <x:xf numFmtId="49" fontId="60" fillId="22" borderId="3" xfId="0" applyNumberFormat="1" applyFont="1" applyFill="1" applyBorder="1" applyAlignment="1">
      <x:alignment vertical="center"/>
    </x:xf>
    <x:xf numFmtId="3" fontId="60" fillId="22" borderId="3" xfId="0" applyNumberFormat="1" applyFont="1" applyFill="1" applyBorder="1" applyAlignment="1">
      <x:alignment horizontal="center" vertical="center"/>
    </x:xf>
    <x:xf numFmtId="9" fontId="60" fillId="22" borderId="3" xfId="0" applyNumberFormat="1" applyFont="1" applyFill="1" applyBorder="1" applyAlignment="1">
      <x:alignment horizontal="center" vertical="center"/>
    </x:xf>
    <x:xf numFmtId="49" fontId="63" fillId="22" borderId="3" xfId="0" applyNumberFormat="1" applyFont="1" applyFill="1" applyBorder="1" applyAlignment="1">
      <x:alignment horizontal="center" vertical="center"/>
    </x:xf>
    <x:xf numFmtId="3" fontId="63" fillId="22" borderId="3" xfId="0" applyNumberFormat="1" applyFont="1" applyFill="1" applyBorder="1" applyAlignment="1">
      <x:alignment horizontal="center" vertical="center"/>
    </x:xf>
    <x:xf numFmtId="9" fontId="63" fillId="22" borderId="3" xfId="0" applyNumberFormat="1" applyFont="1" applyFill="1" applyBorder="1" applyAlignment="1">
      <x:alignment horizontal="center" vertical="center"/>
    </x:xf>
    <x:xf numFmtId="0" fontId="60" fillId="22" borderId="5" xfId="0" applyNumberFormat="1" applyFont="1" applyFill="1" applyBorder="1"/>
    <x:xf numFmtId="0" fontId="63" fillId="22" borderId="5" xfId="0" applyNumberFormat="1" applyFont="1" applyFill="1" applyBorder="1" applyAlignment="1">
      <x:alignment vertical="center" wrapText="1"/>
    </x:xf>
    <x:xf numFmtId="0" fontId="60" fillId="22" borderId="2" xfId="0" applyNumberFormat="1" applyFont="1" applyFill="1" applyBorder="1"/>
    <x:xf numFmtId="49" fontId="63" fillId="22" borderId="3" xfId="0" applyNumberFormat="1" applyFont="1" applyFill="1" applyBorder="1" applyAlignment="1">
      <x:alignment vertical="center"/>
    </x:xf>
    <x:xf numFmtId="49" fontId="60" fillId="22" borderId="3" xfId="0" applyNumberFormat="1" applyFont="1" applyFill="1" applyBorder="1" applyAlignment="1">
      <x:alignment horizontal="left" vertical="center"/>
    </x:xf>
    <x:xf numFmtId="165" fontId="60" fillId="22" borderId="3" xfId="0" applyNumberFormat="1" applyFont="1" applyFill="1" applyBorder="1" applyAlignment="1">
      <x:alignment horizontal="center" vertical="center"/>
    </x:xf>
    <x:xf numFmtId="49" fontId="72" fillId="22" borderId="2" xfId="0" applyNumberFormat="1" applyFont="1" applyFill="1" applyBorder="1" applyAlignment="1">
      <x:alignment wrapText="1"/>
    </x:xf>
    <x:xf numFmtId="0" fontId="64" fillId="22" borderId="2" xfId="0" applyNumberFormat="1" applyFont="1" applyFill="1" applyBorder="1" applyAlignment="1">
      <x:alignment vertical="center"/>
    </x:xf>
    <x:xf numFmtId="0" fontId="64" fillId="22" borderId="1" xfId="0" applyNumberFormat="1" applyFont="1" applyFill="1" applyBorder="1" applyAlignment="1">
      <x:alignment vertical="center"/>
    </x:xf>
    <x:xf numFmtId="49" fontId="63" fillId="22" borderId="3" xfId="0" applyNumberFormat="1" applyFont="1" applyFill="1" applyBorder="1" applyAlignment="1">
      <x:alignment vertical="center" wrapText="1"/>
    </x:xf>
    <x:xf numFmtId="0" fontId="64" fillId="22" borderId="2" xfId="0" applyNumberFormat="1" applyFont="1" applyFill="1" applyBorder="1" applyAlignment="1">
      <x:alignment vertical="center" wrapText="1"/>
    </x:xf>
    <x:xf numFmtId="49" fontId="60" fillId="22" borderId="3" xfId="0" applyNumberFormat="1" applyFont="1" applyFill="1" applyBorder="1" applyAlignment="1">
      <x:alignment vertical="center" wrapText="1"/>
    </x:xf>
    <x:xf numFmtId="0" fontId="64" fillId="22" borderId="45" xfId="0" applyNumberFormat="1" applyFont="1" applyFill="1" applyBorder="1"/>
    <x:xf numFmtId="0" fontId="60" fillId="22" borderId="45" xfId="0" applyNumberFormat="1" applyFont="1" applyFill="1" applyBorder="1"/>
    <x:xf numFmtId="0" fontId="61" fillId="22" borderId="45" xfId="0" applyNumberFormat="1" applyFont="1" applyFill="1" applyBorder="1"/>
    <x:xf numFmtId="49" fontId="63" fillId="22" borderId="19" xfId="0" applyNumberFormat="1" applyFont="1" applyFill="1" applyBorder="1" applyAlignment="1">
      <x:alignment horizontal="left" vertical="center"/>
    </x:xf>
    <x:xf numFmtId="0" fontId="60" fillId="22" borderId="0" xfId="0" applyNumberFormat="1" applyFont="1" applyFill="1" applyBorder="1" applyAlignment="1">
      <x:alignment horizontal="center"/>
    </x:xf>
    <x:xf numFmtId="0" fontId="60" fillId="22" borderId="0" xfId="0" applyNumberFormat="1" applyFont="1" applyFill="1" applyBorder="1"/>
    <x:xf numFmtId="49" fontId="63" fillId="22" borderId="0" xfId="0" applyNumberFormat="1" applyFont="1" applyFill="1" applyBorder="1"/>
    <x:xf numFmtId="0" fontId="60" fillId="22" borderId="47" xfId="0" applyNumberFormat="1" applyFont="1" applyFill="1" applyBorder="1"/>
    <x:xf numFmtId="0" fontId="63" fillId="22" borderId="42" xfId="0" applyNumberFormat="1" applyFont="1" applyFill="1" applyBorder="1" applyAlignment="1">
      <x:alignment vertical="center"/>
    </x:xf>
    <x:xf numFmtId="49" fontId="63" fillId="22" borderId="41" xfId="0" applyNumberFormat="1" applyFont="1" applyFill="1" applyBorder="1" applyAlignment="1">
      <x:alignment horizontal="center" vertical="center"/>
    </x:xf>
    <x:xf numFmtId="0" fontId="60" fillId="22" borderId="48" xfId="0" applyNumberFormat="1" applyFont="1" applyFill="1" applyBorder="1"/>
    <x:xf numFmtId="0" fontId="60" fillId="22" borderId="2" xfId="0" applyNumberFormat="1" applyFont="1" applyFill="1" applyBorder="1" applyAlignment="1">
      <x:alignment horizontal="center"/>
    </x:xf>
    <x:xf numFmtId="0" fontId="60" fillId="22" borderId="1" xfId="0" applyNumberFormat="1" applyFont="1" applyFill="1" applyBorder="1" applyAlignment="1">
      <x:alignment horizontal="center"/>
    </x:xf>
    <x:xf numFmtId="165" fontId="60" fillId="22" borderId="3" xfId="0" applyNumberFormat="1" applyFont="1" applyFill="1" applyBorder="1" applyAlignment="1">
      <x:alignment horizontal="center" vertical="center" wrapText="1"/>
    </x:xf>
    <x:xf numFmtId="49" fontId="63" fillId="22" borderId="1" xfId="0" applyNumberFormat="1" applyFont="1" applyFill="1" applyBorder="1" applyAlignment="1">
      <x:alignment vertical="center"/>
    </x:xf>
    <x:xf numFmtId="0" fontId="64" fillId="22" borderId="5" xfId="0" applyNumberFormat="1" applyFont="1" applyFill="1" applyBorder="1"/>
    <x:xf numFmtId="0" fontId="63" fillId="22" borderId="4" xfId="0" applyNumberFormat="1" applyFont="1" applyFill="1" applyBorder="1" applyAlignment="1">
      <x:alignment vertical="center" wrapText="1"/>
    </x:xf>
    <x:xf numFmtId="49" fontId="64" fillId="22" borderId="5" xfId="0" applyNumberFormat="1" applyFont="1" applyFill="1" applyBorder="1"/>
    <x:xf numFmtId="49" fontId="64" fillId="22" borderId="2" xfId="0" applyNumberFormat="1" applyFont="1" applyFill="1" applyBorder="1"/>
    <x:xf numFmtId="49" fontId="63" fillId="22" borderId="81" xfId="0" applyNumberFormat="1" applyFont="1" applyFill="1" applyBorder="1" applyAlignment="1">
      <x:alignment horizontal="left" vertical="center"/>
    </x:xf>
    <x:xf numFmtId="0" fontId="60" fillId="22" borderId="82" xfId="0" applyNumberFormat="1" applyFont="1" applyFill="1" applyBorder="1" applyAlignment="1">
      <x:alignment horizontal="center"/>
    </x:xf>
    <x:xf numFmtId="0" fontId="60" fillId="22" borderId="82" xfId="0" applyNumberFormat="1" applyFont="1" applyFill="1" applyBorder="1"/>
    <x:xf numFmtId="49" fontId="63" fillId="22" borderId="82" xfId="0" applyNumberFormat="1" applyFont="1" applyFill="1" applyBorder="1"/>
    <x:xf numFmtId="0" fontId="61" fillId="22" borderId="82" xfId="0" applyNumberFormat="1" applyFont="1" applyFill="1" applyBorder="1"/>
    <x:xf numFmtId="0" fontId="61" fillId="22" borderId="89" xfId="0" applyNumberFormat="1" applyFont="1" applyFill="1" applyBorder="1"/>
    <x:xf numFmtId="49" fontId="61" fillId="22" borderId="84" xfId="0" applyNumberFormat="1" applyFont="1" applyFill="1" applyBorder="1"/>
    <x:xf numFmtId="0" fontId="60" fillId="22" borderId="76" xfId="0" applyNumberFormat="1" applyFont="1" applyFill="1" applyBorder="1"/>
    <x:xf numFmtId="0" fontId="61" fillId="22" borderId="90" xfId="0" applyNumberFormat="1" applyFont="1" applyFill="1" applyBorder="1"/>
    <x:xf numFmtId="49" fontId="63" fillId="22" borderId="84" xfId="0" applyNumberFormat="1" applyFont="1" applyFill="1" applyBorder="1" applyAlignment="1">
      <x:alignment horizontal="left" vertical="center"/>
    </x:xf>
    <x:xf numFmtId="49" fontId="63" fillId="22" borderId="76" xfId="0" applyNumberFormat="1" applyFont="1" applyFill="1" applyBorder="1" applyAlignment="1">
      <x:alignment horizontal="center" vertical="center" wrapText="1"/>
    </x:xf>
    <x:xf numFmtId="0" fontId="63" fillId="22" borderId="76" xfId="0" applyNumberFormat="1" applyFont="1" applyFill="1" applyBorder="1" applyAlignment="1">
      <x:alignment horizontal="center" vertical="center" wrapText="1"/>
    </x:xf>
    <x:xf numFmtId="0" fontId="63" fillId="22" borderId="84" xfId="0" applyNumberFormat="1" applyFont="1" applyFill="1" applyBorder="1" applyAlignment="1">
      <x:alignment horizontal="center" vertical="center"/>
    </x:xf>
    <x:xf numFmtId="49" fontId="60" fillId="22" borderId="84" xfId="0" applyNumberFormat="1" applyFont="1" applyFill="1" applyBorder="1" applyAlignment="1">
      <x:alignment vertical="center"/>
    </x:xf>
    <x:xf numFmtId="3" fontId="60" fillId="22" borderId="76" xfId="0" applyNumberFormat="1" applyFont="1" applyFill="1" applyBorder="1" applyAlignment="1">
      <x:alignment horizontal="center" vertical="center"/>
    </x:xf>
    <x:xf numFmtId="9" fontId="60" fillId="22" borderId="76" xfId="0" applyNumberFormat="1" applyFont="1" applyFill="1" applyBorder="1" applyAlignment="1">
      <x:alignment horizontal="center" vertical="center"/>
    </x:xf>
    <x:xf numFmtId="0" fontId="60" fillId="22" borderId="76" xfId="0" applyNumberFormat="1" applyFont="1" applyFill="1" applyBorder="1" applyAlignment="1">
      <x:alignment horizontal="center" vertical="center"/>
    </x:xf>
    <x:xf numFmtId="49" fontId="63" fillId="22" borderId="84" xfId="0" applyNumberFormat="1" applyFont="1" applyFill="1" applyBorder="1" applyAlignment="1">
      <x:alignment horizontal="center" vertical="center"/>
    </x:xf>
    <x:xf numFmtId="3" fontId="63" fillId="22" borderId="76" xfId="0" applyNumberFormat="1" applyFont="1" applyFill="1" applyBorder="1" applyAlignment="1">
      <x:alignment horizontal="center" vertical="center"/>
    </x:xf>
    <x:xf numFmtId="9" fontId="63" fillId="22" borderId="76" xfId="0" applyNumberFormat="1" applyFont="1" applyFill="1" applyBorder="1" applyAlignment="1">
      <x:alignment horizontal="center" vertical="center"/>
    </x:xf>
    <x:xf numFmtId="49" fontId="64" fillId="22" borderId="84" xfId="0" applyNumberFormat="1" applyFont="1" applyFill="1" applyBorder="1" applyAlignment="1">
      <x:alignment vertical="center"/>
    </x:xf>
    <x:xf numFmtId="0" fontId="63" fillId="22" borderId="76" xfId="0" applyNumberFormat="1" applyFont="1" applyFill="1" applyBorder="1" applyAlignment="1">
      <x:alignment vertical="center" wrapText="1"/>
    </x:xf>
    <x:xf numFmtId="0" fontId="61" fillId="22" borderId="84" xfId="0" applyNumberFormat="1" applyFont="1" applyFill="1" applyBorder="1"/>
    <x:xf numFmtId="49" fontId="63" fillId="22" borderId="84" xfId="0" applyNumberFormat="1" applyFont="1" applyFill="1" applyBorder="1" applyAlignment="1">
      <x:alignment vertical="center"/>
    </x:xf>
    <x:xf numFmtId="49" fontId="60" fillId="22" borderId="84" xfId="0" applyNumberFormat="1" applyFont="1" applyFill="1" applyBorder="1" applyAlignment="1">
      <x:alignment horizontal="left" vertical="center"/>
    </x:xf>
    <x:xf numFmtId="165" fontId="60" fillId="22" borderId="76" xfId="0" applyNumberFormat="1" applyFont="1" applyFill="1" applyBorder="1" applyAlignment="1">
      <x:alignment horizontal="center" vertical="center"/>
    </x:xf>
    <x:xf numFmtId="49" fontId="72" fillId="22" borderId="84" xfId="0" applyNumberFormat="1" applyFont="1" applyFill="1" applyBorder="1" applyAlignment="1">
      <x:alignment wrapText="1"/>
    </x:xf>
    <x:xf numFmtId="0" fontId="64" fillId="22" borderId="84" xfId="0" applyNumberFormat="1" applyFont="1" applyFill="1" applyBorder="1" applyAlignment="1">
      <x:alignment vertical="center"/>
    </x:xf>
    <x:xf numFmtId="49" fontId="63" fillId="22" borderId="84" xfId="0" applyNumberFormat="1" applyFont="1" applyFill="1" applyBorder="1" applyAlignment="1">
      <x:alignment vertical="center" wrapText="1"/>
    </x:xf>
    <x:xf numFmtId="0" fontId="64" fillId="22" borderId="76" xfId="0" applyNumberFormat="1" applyFont="1" applyFill="1" applyBorder="1" applyAlignment="1">
      <x:alignment vertical="center" wrapText="1"/>
    </x:xf>
    <x:xf numFmtId="49" fontId="60" fillId="22" borderId="84" xfId="0" applyNumberFormat="1" applyFont="1" applyFill="1" applyBorder="1" applyAlignment="1">
      <x:alignment vertical="center" wrapText="1"/>
    </x:xf>
    <x:xf numFmtId="0" fontId="63" fillId="22" borderId="76" xfId="0" applyNumberFormat="1" applyFont="1" applyFill="1" applyBorder="1" applyAlignment="1">
      <x:alignment horizontal="center" vertical="center"/>
    </x:xf>
    <x:xf numFmtId="0" fontId="64" fillId="22" borderId="84" xfId="0" applyNumberFormat="1" applyFont="1" applyFill="1" applyBorder="1"/>
    <x:xf numFmtId="0" fontId="60" fillId="22" borderId="76" xfId="0" applyNumberFormat="1" applyFont="1" applyFill="1" applyBorder="1" applyAlignment="1">
      <x:alignment horizontal="center"/>
    </x:xf>
    <x:xf numFmtId="49" fontId="63" fillId="22" borderId="76" xfId="0" applyNumberFormat="1" applyFont="1" applyFill="1" applyBorder="1"/>
    <x:xf numFmtId="0" fontId="60" fillId="22" borderId="90" xfId="0" applyNumberFormat="1" applyFont="1" applyFill="1" applyBorder="1"/>
    <x:xf numFmtId="0" fontId="63" fillId="22" borderId="84" xfId="0" applyNumberFormat="1" applyFont="1" applyFill="1" applyBorder="1" applyAlignment="1">
      <x:alignment vertical="center"/>
    </x:xf>
    <x:xf numFmtId="49" fontId="63" fillId="22" borderId="90" xfId="0" applyNumberFormat="1" applyFont="1" applyFill="1" applyBorder="1" applyAlignment="1">
      <x:alignment horizontal="center" vertical="center" wrapText="1"/>
    </x:xf>
    <x:xf numFmtId="9" fontId="60" fillId="22" borderId="90" xfId="0" applyNumberFormat="1" applyFont="1" applyFill="1" applyBorder="1" applyAlignment="1">
      <x:alignment horizontal="center" vertical="center"/>
    </x:xf>
    <x:xf numFmtId="0" fontId="64" fillId="22" borderId="76" xfId="0" applyNumberFormat="1" applyFont="1" applyFill="1" applyBorder="1" applyAlignment="1">
      <x:alignment vertical="center"/>
    </x:xf>
    <x:xf numFmtId="0" fontId="60" fillId="22" borderId="84" xfId="0" applyNumberFormat="1" applyFont="1" applyFill="1" applyBorder="1" applyAlignment="1">
      <x:alignment horizontal="center"/>
    </x:xf>
    <x:xf numFmtId="165" fontId="60" fillId="22" borderId="76" xfId="0" applyNumberFormat="1" applyFont="1" applyFill="1" applyBorder="1" applyAlignment="1">
      <x:alignment horizontal="center" vertical="center" wrapText="1"/>
    </x:xf>
    <x:xf numFmtId="0" fontId="64" fillId="22" borderId="76" xfId="0" applyNumberFormat="1" applyFont="1" applyFill="1" applyBorder="1"/>
    <x:xf numFmtId="49" fontId="64" fillId="22" borderId="84" xfId="0" applyNumberFormat="1" applyFont="1" applyFill="1" applyBorder="1"/>
    <x:xf numFmtId="49" fontId="64" fillId="22" borderId="91" xfId="0" applyNumberFormat="1" applyFont="1" applyFill="1" applyBorder="1"/>
    <x:xf numFmtId="0" fontId="60" fillId="22" borderId="79" xfId="0" applyNumberFormat="1" applyFont="1" applyFill="1" applyBorder="1"/>
    <x:xf numFmtId="0" fontId="60" fillId="22" borderId="92" xfId="0" applyNumberFormat="1" applyFont="1" applyFill="1" applyBorder="1"/>
    <x:xf numFmtId="49" fontId="63" fillId="22" borderId="81" xfId="0" applyNumberFormat="1" applyFont="1" applyFill="1" applyBorder="1" applyAlignment="1">
      <x:alignment horizontal="left" vertical="center" wrapText="0"/>
    </x:xf>
    <x:xf numFmtId="0" fontId="60" fillId="22" borderId="82" xfId="0" applyNumberFormat="1" applyFont="1" applyFill="1" applyBorder="1" applyAlignment="1">
      <x:alignment horizontal="center" wrapText="0"/>
    </x:xf>
    <x:xf numFmtId="0" fontId="60" fillId="22" borderId="82" xfId="0" applyNumberFormat="1" applyFont="1" applyFill="1" applyBorder="1" applyAlignment="1">
      <x:alignment wrapText="0"/>
    </x:xf>
    <x:xf numFmtId="49" fontId="63" fillId="22" borderId="82" xfId="0" applyNumberFormat="1" applyFont="1" applyFill="1" applyBorder="1" applyAlignment="1">
      <x:alignment wrapText="0"/>
    </x:xf>
    <x:xf numFmtId="0" fontId="61" fillId="22" borderId="82" xfId="0" applyNumberFormat="1" applyFont="1" applyFill="1" applyBorder="1" applyAlignment="1">
      <x:alignment wrapText="0"/>
    </x:xf>
    <x:xf numFmtId="0" fontId="61" fillId="22" borderId="89" xfId="0" applyNumberFormat="1" applyFont="1" applyFill="1" applyBorder="1" applyAlignment="1">
      <x:alignment wrapText="0"/>
    </x:xf>
    <x:xf numFmtId="49" fontId="61" fillId="22" borderId="84" xfId="0" applyNumberFormat="1" applyFont="1" applyFill="1" applyBorder="1" applyAlignment="1">
      <x:alignment wrapText="0"/>
    </x:xf>
    <x:xf numFmtId="0" fontId="60" fillId="22" borderId="76" xfId="0" applyNumberFormat="1" applyFont="1" applyFill="1" applyBorder="1" applyAlignment="1">
      <x:alignment wrapText="0"/>
    </x:xf>
    <x:xf numFmtId="0" fontId="61" fillId="22" borderId="90" xfId="0" applyNumberFormat="1" applyFont="1" applyFill="1" applyBorder="1" applyAlignment="1">
      <x:alignment wrapText="0"/>
    </x:xf>
    <x:xf numFmtId="49" fontId="63" fillId="22" borderId="84" xfId="0" applyNumberFormat="1" applyFont="1" applyFill="1" applyBorder="1" applyAlignment="1">
      <x:alignment horizontal="left" vertical="center" wrapText="0"/>
    </x:xf>
    <x:xf numFmtId="49" fontId="63" fillId="22" borderId="76" xfId="0" applyNumberFormat="1" applyFont="1" applyFill="1" applyBorder="1" applyAlignment="1">
      <x:alignment horizontal="center" vertical="center" wrapText="0"/>
    </x:xf>
    <x:xf numFmtId="0" fontId="63" fillId="22" borderId="76" xfId="0" applyNumberFormat="1" applyFont="1" applyFill="1" applyBorder="1" applyAlignment="1">
      <x:alignment horizontal="center" vertical="center" wrapText="0"/>
    </x:xf>
    <x:xf numFmtId="0" fontId="63" fillId="22" borderId="84" xfId="0" applyNumberFormat="1" applyFont="1" applyFill="1" applyBorder="1" applyAlignment="1">
      <x:alignment horizontal="center" vertical="center" wrapText="0"/>
    </x:xf>
    <x:xf numFmtId="49" fontId="60" fillId="22" borderId="84" xfId="0" applyNumberFormat="1" applyFont="1" applyFill="1" applyBorder="1" applyAlignment="1">
      <x:alignment vertical="center" wrapText="0"/>
    </x:xf>
    <x:xf numFmtId="3" fontId="60" fillId="22" borderId="76" xfId="0" applyNumberFormat="1" applyFont="1" applyFill="1" applyBorder="1" applyAlignment="1">
      <x:alignment horizontal="center" vertical="center" wrapText="0"/>
    </x:xf>
    <x:xf numFmtId="9" fontId="60" fillId="22" borderId="76" xfId="0" applyNumberFormat="1" applyFont="1" applyFill="1" applyBorder="1" applyAlignment="1">
      <x:alignment horizontal="center" vertical="center" wrapText="0"/>
    </x:xf>
    <x:xf numFmtId="0" fontId="60" fillId="22" borderId="76" xfId="0" applyNumberFormat="1" applyFont="1" applyFill="1" applyBorder="1" applyAlignment="1">
      <x:alignment horizontal="center" vertical="center" wrapText="0"/>
    </x:xf>
    <x:xf numFmtId="49" fontId="63" fillId="22" borderId="84" xfId="0" applyNumberFormat="1" applyFont="1" applyFill="1" applyBorder="1" applyAlignment="1">
      <x:alignment horizontal="center" vertical="center" wrapText="0"/>
    </x:xf>
    <x:xf numFmtId="3" fontId="63" fillId="22" borderId="76" xfId="0" applyNumberFormat="1" applyFont="1" applyFill="1" applyBorder="1" applyAlignment="1">
      <x:alignment horizontal="center" vertical="center" wrapText="0"/>
    </x:xf>
    <x:xf numFmtId="9" fontId="63" fillId="22" borderId="76" xfId="0" applyNumberFormat="1" applyFont="1" applyFill="1" applyBorder="1" applyAlignment="1">
      <x:alignment horizontal="center" vertical="center" wrapText="0"/>
    </x:xf>
    <x:xf numFmtId="49" fontId="64" fillId="22" borderId="84" xfId="0" applyNumberFormat="1" applyFont="1" applyFill="1" applyBorder="1" applyAlignment="1">
      <x:alignment vertical="center" wrapText="0"/>
    </x:xf>
    <x:xf numFmtId="0" fontId="63" fillId="22" borderId="76" xfId="0" applyNumberFormat="1" applyFont="1" applyFill="1" applyBorder="1" applyAlignment="1">
      <x:alignment vertical="center" wrapText="0"/>
    </x:xf>
    <x:xf numFmtId="0" fontId="61" fillId="22" borderId="84" xfId="0" applyNumberFormat="1" applyFont="1" applyFill="1" applyBorder="1" applyAlignment="1">
      <x:alignment wrapText="0"/>
    </x:xf>
    <x:xf numFmtId="49" fontId="63" fillId="22" borderId="84" xfId="0" applyNumberFormat="1" applyFont="1" applyFill="1" applyBorder="1" applyAlignment="1">
      <x:alignment vertical="center" wrapText="0"/>
    </x:xf>
    <x:xf numFmtId="49" fontId="60" fillId="22" borderId="84" xfId="0" applyNumberFormat="1" applyFont="1" applyFill="1" applyBorder="1" applyAlignment="1">
      <x:alignment horizontal="left" vertical="center" wrapText="0"/>
    </x:xf>
    <x:xf numFmtId="165" fontId="60" fillId="22" borderId="76" xfId="0" applyNumberFormat="1" applyFont="1" applyFill="1" applyBorder="1" applyAlignment="1">
      <x:alignment horizontal="center" vertical="center" wrapText="0"/>
    </x:xf>
    <x:xf numFmtId="49" fontId="72" fillId="22" borderId="84" xfId="0" applyNumberFormat="1" applyFont="1" applyFill="1" applyBorder="1" applyAlignment="1">
      <x:alignment wrapText="0"/>
    </x:xf>
    <x:xf numFmtId="0" fontId="64" fillId="22" borderId="84" xfId="0" applyNumberFormat="1" applyFont="1" applyFill="1" applyBorder="1" applyAlignment="1">
      <x:alignment vertical="center" wrapText="0"/>
    </x:xf>
    <x:xf numFmtId="0" fontId="64" fillId="22" borderId="76" xfId="0" applyNumberFormat="1" applyFont="1" applyFill="1" applyBorder="1" applyAlignment="1">
      <x:alignment vertical="center" wrapText="0"/>
    </x:xf>
    <x:xf numFmtId="0" fontId="64" fillId="22" borderId="84" xfId="0" applyNumberFormat="1" applyFont="1" applyFill="1" applyBorder="1" applyAlignment="1">
      <x:alignment wrapText="0"/>
    </x:xf>
    <x:xf numFmtId="0" fontId="60" fillId="22" borderId="76" xfId="0" applyNumberFormat="1" applyFont="1" applyFill="1" applyBorder="1" applyAlignment="1">
      <x:alignment horizontal="center" wrapText="0"/>
    </x:xf>
    <x:xf numFmtId="49" fontId="63" fillId="22" borderId="76" xfId="0" applyNumberFormat="1" applyFont="1" applyFill="1" applyBorder="1" applyAlignment="1">
      <x:alignment wrapText="0"/>
    </x:xf>
    <x:xf numFmtId="0" fontId="60" fillId="22" borderId="90" xfId="0" applyNumberFormat="1" applyFont="1" applyFill="1" applyBorder="1" applyAlignment="1">
      <x:alignment wrapText="0"/>
    </x:xf>
    <x:xf numFmtId="0" fontId="63" fillId="22" borderId="84" xfId="0" applyNumberFormat="1" applyFont="1" applyFill="1" applyBorder="1" applyAlignment="1">
      <x:alignment vertical="center" wrapText="0"/>
    </x:xf>
    <x:xf numFmtId="49" fontId="63" fillId="22" borderId="90" xfId="0" applyNumberFormat="1" applyFont="1" applyFill="1" applyBorder="1" applyAlignment="1">
      <x:alignment horizontal="center" vertical="center" wrapText="0"/>
    </x:xf>
    <x:xf numFmtId="9" fontId="60" fillId="22" borderId="90" xfId="0" applyNumberFormat="1" applyFont="1" applyFill="1" applyBorder="1" applyAlignment="1">
      <x:alignment horizontal="center" vertical="center" wrapText="0"/>
    </x:xf>
    <x:xf numFmtId="0" fontId="60" fillId="22" borderId="84" xfId="0" applyNumberFormat="1" applyFont="1" applyFill="1" applyBorder="1" applyAlignment="1">
      <x:alignment horizontal="center" wrapText="0"/>
    </x:xf>
    <x:xf numFmtId="0" fontId="64" fillId="22" borderId="76" xfId="0" applyNumberFormat="1" applyFont="1" applyFill="1" applyBorder="1" applyAlignment="1">
      <x:alignment wrapText="0"/>
    </x:xf>
    <x:xf numFmtId="49" fontId="64" fillId="22" borderId="84" xfId="0" applyNumberFormat="1" applyFont="1" applyFill="1" applyBorder="1" applyAlignment="1">
      <x:alignment wrapText="0"/>
    </x:xf>
    <x:xf numFmtId="49" fontId="64" fillId="22" borderId="91" xfId="0" applyNumberFormat="1" applyFont="1" applyFill="1" applyBorder="1" applyAlignment="1">
      <x:alignment wrapText="0"/>
    </x:xf>
    <x:xf numFmtId="0" fontId="60" fillId="22" borderId="79" xfId="0" applyNumberFormat="1" applyFont="1" applyFill="1" applyBorder="1" applyAlignment="1">
      <x:alignment wrapText="0"/>
    </x:xf>
    <x:xf numFmtId="0" fontId="60" fillId="22" borderId="92" xfId="0" applyNumberFormat="1" applyFont="1" applyFill="1" applyBorder="1" applyAlignment="1">
      <x:alignment wrapText="0"/>
    </x:xf>
    <x:xf numFmtId="49" fontId="63" fillId="22" borderId="81" xfId="0" applyNumberFormat="1" applyFont="1" applyFill="1" applyBorder="1" applyAlignment="1">
      <x:alignment horizontal="left" vertical="top" wrapText="0"/>
    </x:xf>
    <x:xf numFmtId="0" fontId="60" fillId="22" borderId="82" xfId="0" applyNumberFormat="1" applyFont="1" applyFill="1" applyBorder="1" applyAlignment="1">
      <x:alignment horizontal="center" vertical="top" wrapText="0"/>
    </x:xf>
    <x:xf numFmtId="0" fontId="60" fillId="22" borderId="82" xfId="0" applyNumberFormat="1" applyFont="1" applyFill="1" applyBorder="1" applyAlignment="1">
      <x:alignment vertical="top" wrapText="0"/>
    </x:xf>
    <x:xf numFmtId="49" fontId="63" fillId="22" borderId="82" xfId="0" applyNumberFormat="1" applyFont="1" applyFill="1" applyBorder="1" applyAlignment="1">
      <x:alignment vertical="top" wrapText="0"/>
    </x:xf>
    <x:xf numFmtId="0" fontId="61" fillId="22" borderId="82" xfId="0" applyNumberFormat="1" applyFont="1" applyFill="1" applyBorder="1" applyAlignment="1">
      <x:alignment vertical="top" wrapText="0"/>
    </x:xf>
    <x:xf numFmtId="0" fontId="61" fillId="22" borderId="89" xfId="0" applyNumberFormat="1" applyFont="1" applyFill="1" applyBorder="1" applyAlignment="1">
      <x:alignment vertical="top" wrapText="0"/>
    </x:xf>
    <x:xf numFmtId="49" fontId="61" fillId="22" borderId="84" xfId="0" applyNumberFormat="1" applyFont="1" applyFill="1" applyBorder="1" applyAlignment="1">
      <x:alignment vertical="top" wrapText="0"/>
    </x:xf>
    <x:xf numFmtId="0" fontId="60" fillId="22" borderId="76" xfId="0" applyNumberFormat="1" applyFont="1" applyFill="1" applyBorder="1" applyAlignment="1">
      <x:alignment vertical="top" wrapText="0"/>
    </x:xf>
    <x:xf numFmtId="0" fontId="61" fillId="22" borderId="90" xfId="0" applyNumberFormat="1" applyFont="1" applyFill="1" applyBorder="1" applyAlignment="1">
      <x:alignment vertical="top" wrapText="0"/>
    </x:xf>
    <x:xf numFmtId="49" fontId="63" fillId="22" borderId="84" xfId="0" applyNumberFormat="1" applyFont="1" applyFill="1" applyBorder="1" applyAlignment="1">
      <x:alignment horizontal="left" vertical="top" wrapText="0"/>
    </x:xf>
    <x:xf numFmtId="49" fontId="63" fillId="22" borderId="76" xfId="0" applyNumberFormat="1" applyFont="1" applyFill="1" applyBorder="1" applyAlignment="1">
      <x:alignment horizontal="center" vertical="top" wrapText="0"/>
    </x:xf>
    <x:xf numFmtId="0" fontId="63" fillId="22" borderId="76" xfId="0" applyNumberFormat="1" applyFont="1" applyFill="1" applyBorder="1" applyAlignment="1">
      <x:alignment horizontal="center" vertical="top" wrapText="0"/>
    </x:xf>
    <x:xf numFmtId="0" fontId="63" fillId="22" borderId="84" xfId="0" applyNumberFormat="1" applyFont="1" applyFill="1" applyBorder="1" applyAlignment="1">
      <x:alignment horizontal="center" vertical="top" wrapText="0"/>
    </x:xf>
    <x:xf numFmtId="49" fontId="60" fillId="22" borderId="84" xfId="0" applyNumberFormat="1" applyFont="1" applyFill="1" applyBorder="1" applyAlignment="1">
      <x:alignment vertical="top" wrapText="0"/>
    </x:xf>
    <x:xf numFmtId="3" fontId="60" fillId="22" borderId="76" xfId="0" applyNumberFormat="1" applyFont="1" applyFill="1" applyBorder="1" applyAlignment="1">
      <x:alignment horizontal="center" vertical="top" wrapText="0"/>
    </x:xf>
    <x:xf numFmtId="9" fontId="60" fillId="22" borderId="76" xfId="0" applyNumberFormat="1" applyFont="1" applyFill="1" applyBorder="1" applyAlignment="1">
      <x:alignment horizontal="center" vertical="top" wrapText="0"/>
    </x:xf>
    <x:xf numFmtId="0" fontId="60" fillId="22" borderId="76" xfId="0" applyNumberFormat="1" applyFont="1" applyFill="1" applyBorder="1" applyAlignment="1">
      <x:alignment horizontal="center" vertical="top" wrapText="0"/>
    </x:xf>
    <x:xf numFmtId="49" fontId="63" fillId="22" borderId="84" xfId="0" applyNumberFormat="1" applyFont="1" applyFill="1" applyBorder="1" applyAlignment="1">
      <x:alignment horizontal="center" vertical="top" wrapText="0"/>
    </x:xf>
    <x:xf numFmtId="3" fontId="63" fillId="22" borderId="76" xfId="0" applyNumberFormat="1" applyFont="1" applyFill="1" applyBorder="1" applyAlignment="1">
      <x:alignment horizontal="center" vertical="top" wrapText="0"/>
    </x:xf>
    <x:xf numFmtId="9" fontId="63" fillId="22" borderId="76" xfId="0" applyNumberFormat="1" applyFont="1" applyFill="1" applyBorder="1" applyAlignment="1">
      <x:alignment horizontal="center" vertical="top" wrapText="0"/>
    </x:xf>
    <x:xf numFmtId="49" fontId="64" fillId="22" borderId="84" xfId="0" applyNumberFormat="1" applyFont="1" applyFill="1" applyBorder="1" applyAlignment="1">
      <x:alignment vertical="top" wrapText="0"/>
    </x:xf>
    <x:xf numFmtId="0" fontId="63" fillId="22" borderId="76" xfId="0" applyNumberFormat="1" applyFont="1" applyFill="1" applyBorder="1" applyAlignment="1">
      <x:alignment vertical="top" wrapText="0"/>
    </x:xf>
    <x:xf numFmtId="0" fontId="61" fillId="22" borderId="84" xfId="0" applyNumberFormat="1" applyFont="1" applyFill="1" applyBorder="1" applyAlignment="1">
      <x:alignment vertical="top" wrapText="0"/>
    </x:xf>
    <x:xf numFmtId="49" fontId="63" fillId="22" borderId="84" xfId="0" applyNumberFormat="1" applyFont="1" applyFill="1" applyBorder="1" applyAlignment="1">
      <x:alignment vertical="top" wrapText="0"/>
    </x:xf>
    <x:xf numFmtId="49" fontId="60" fillId="22" borderId="84" xfId="0" applyNumberFormat="1" applyFont="1" applyFill="1" applyBorder="1" applyAlignment="1">
      <x:alignment horizontal="left" vertical="top" wrapText="0"/>
    </x:xf>
    <x:xf numFmtId="165" fontId="60" fillId="22" borderId="76" xfId="0" applyNumberFormat="1" applyFont="1" applyFill="1" applyBorder="1" applyAlignment="1">
      <x:alignment horizontal="center" vertical="top" wrapText="0"/>
    </x:xf>
    <x:xf numFmtId="49" fontId="72" fillId="22" borderId="84" xfId="0" applyNumberFormat="1" applyFont="1" applyFill="1" applyBorder="1" applyAlignment="1">
      <x:alignment vertical="top" wrapText="0"/>
    </x:xf>
    <x:xf numFmtId="0" fontId="64" fillId="22" borderId="84" xfId="0" applyNumberFormat="1" applyFont="1" applyFill="1" applyBorder="1" applyAlignment="1">
      <x:alignment vertical="top" wrapText="0"/>
    </x:xf>
    <x:xf numFmtId="0" fontId="64" fillId="22" borderId="76" xfId="0" applyNumberFormat="1" applyFont="1" applyFill="1" applyBorder="1" applyAlignment="1">
      <x:alignment vertical="top" wrapText="0"/>
    </x:xf>
    <x:xf numFmtId="49" fontId="63" fillId="22" borderId="76" xfId="0" applyNumberFormat="1" applyFont="1" applyFill="1" applyBorder="1" applyAlignment="1">
      <x:alignment vertical="top" wrapText="0"/>
    </x:xf>
    <x:xf numFmtId="0" fontId="60" fillId="22" borderId="90" xfId="0" applyNumberFormat="1" applyFont="1" applyFill="1" applyBorder="1" applyAlignment="1">
      <x:alignment vertical="top" wrapText="0"/>
    </x:xf>
    <x:xf numFmtId="0" fontId="63" fillId="22" borderId="84" xfId="0" applyNumberFormat="1" applyFont="1" applyFill="1" applyBorder="1" applyAlignment="1">
      <x:alignment vertical="top" wrapText="0"/>
    </x:xf>
    <x:xf numFmtId="49" fontId="63" fillId="22" borderId="90" xfId="0" applyNumberFormat="1" applyFont="1" applyFill="1" applyBorder="1" applyAlignment="1">
      <x:alignment horizontal="center" vertical="top" wrapText="0"/>
    </x:xf>
    <x:xf numFmtId="9" fontId="60" fillId="22" borderId="90" xfId="0" applyNumberFormat="1" applyFont="1" applyFill="1" applyBorder="1" applyAlignment="1">
      <x:alignment horizontal="center" vertical="top" wrapText="0"/>
    </x:xf>
    <x:xf numFmtId="0" fontId="60" fillId="22" borderId="84" xfId="0" applyNumberFormat="1" applyFont="1" applyFill="1" applyBorder="1" applyAlignment="1">
      <x:alignment horizontal="center" vertical="top" wrapText="0"/>
    </x:xf>
    <x:xf numFmtId="49" fontId="64" fillId="22" borderId="91" xfId="0" applyNumberFormat="1" applyFont="1" applyFill="1" applyBorder="1" applyAlignment="1">
      <x:alignment vertical="top" wrapText="0"/>
    </x:xf>
    <x:xf numFmtId="0" fontId="60" fillId="22" borderId="79" xfId="0" applyNumberFormat="1" applyFont="1" applyFill="1" applyBorder="1" applyAlignment="1">
      <x:alignment vertical="top" wrapText="0"/>
    </x:xf>
    <x:xf numFmtId="0" fontId="60" fillId="22" borderId="92" xfId="0" applyNumberFormat="1" applyFont="1" applyFill="1" applyBorder="1" applyAlignment="1">
      <x:alignment vertical="top" wrapText="0"/>
    </x:xf>
    <x:xf numFmtId="3" fontId="12" fillId="22" borderId="3" xfId="0" applyNumberFormat="1" applyFont="1" applyFill="1" applyBorder="1" applyAlignment="1">
      <x:alignment horizontal="center" vertical="center" wrapText="1"/>
    </x:xf>
    <x:xf numFmtId="9" fontId="27" fillId="22" borderId="4" xfId="0" applyNumberFormat="1" applyFont="1" applyFill="1" applyBorder="1"/>
    <x:xf numFmtId="166" fontId="12" fillId="22" borderId="3" xfId="0" applyNumberFormat="1" applyFont="1" applyFill="1" applyBorder="1" applyAlignment="1">
      <x:alignment horizontal="center" vertical="center" wrapText="1"/>
    </x:xf>
    <x:xf numFmtId="166" fontId="14" fillId="22" borderId="3" xfId="0" applyNumberFormat="1" applyFont="1" applyFill="1" applyBorder="1" applyAlignment="1">
      <x:alignment horizontal="center" vertical="center" wrapText="1"/>
    </x:xf>
    <x:xf numFmtId="0" fontId="29" fillId="22" borderId="4" xfId="0" applyNumberFormat="1" applyFont="1" applyFill="1" applyBorder="1" applyAlignment="1">
      <x:alignment vertical="top" wrapText="1"/>
    </x:xf>
    <x:xf numFmtId="49" fontId="17" fillId="22" borderId="2" xfId="0" applyNumberFormat="1" applyFont="1" applyFill="1" applyBorder="1" applyAlignment="1">
      <x:alignment vertical="center"/>
    </x:xf>
    <x:xf numFmtId="0" fontId="30" fillId="22" borderId="4" xfId="0" applyNumberFormat="1" applyFont="1" applyFill="1" applyBorder="1"/>
    <x:xf numFmtId="0" fontId="12" fillId="22" borderId="49" xfId="0" applyNumberFormat="1" applyFont="1" applyFill="1" applyBorder="1"/>
    <x:xf numFmtId="0" fontId="27" fillId="22" borderId="2" xfId="0" applyNumberFormat="1" applyFont="1" applyFill="1" applyBorder="1"/>
    <x:xf numFmtId="165" fontId="14" fillId="22" borderId="3" xfId="0" applyNumberFormat="1" applyFont="1" applyFill="1" applyBorder="1" applyAlignment="1">
      <x:alignment horizontal="center" vertical="center" wrapText="1"/>
    </x:xf>
    <x:xf numFmtId="9" fontId="12" fillId="22" borderId="4" xfId="0" applyNumberFormat="1" applyFont="1" applyFill="1" applyBorder="1"/>
    <x:xf numFmtId="2" fontId="27" fillId="22" borderId="2" xfId="0" applyNumberFormat="1" applyFont="1" applyFill="1" applyBorder="1"/>
    <x:xf numFmtId="0" fontId="12" fillId="22" borderId="3" xfId="0" applyNumberFormat="1" applyFont="1" applyFill="1" applyBorder="1" applyAlignment="1">
      <x:alignment horizontal="center" vertical="center" wrapText="1"/>
    </x:xf>
    <x:xf numFmtId="3" fontId="14" fillId="22" borderId="3" xfId="0" applyNumberFormat="1" applyFont="1" applyFill="1" applyBorder="1" applyAlignment="1">
      <x:alignment horizontal="center" vertical="center" wrapText="1"/>
    </x:xf>
    <x:xf numFmtId="0" fontId="16" fillId="22" borderId="2" xfId="0" applyNumberFormat="1" applyFont="1" applyFill="1" applyBorder="1"/>
    <x:xf numFmtId="0" fontId="16" fillId="22" borderId="1" xfId="0" applyNumberFormat="1" applyFont="1" applyFill="1" applyBorder="1"/>
    <x:xf numFmtId="0" fontId="27" fillId="22" borderId="4" xfId="0" applyNumberFormat="1" applyFont="1" applyFill="1" applyBorder="1"/>
    <x:xf numFmtId="0" fontId="17" fillId="22" borderId="1" xfId="0" applyNumberFormat="1" applyFont="1" applyFill="1" applyBorder="1" applyAlignment="1">
      <x:alignment vertical="center"/>
    </x:xf>
    <x:xf numFmtId="167" fontId="0" fillId="22" borderId="3" xfId="0" applyNumberFormat="1" applyFont="1" applyFill="1" applyBorder="1" applyAlignment="1">
      <x:alignment horizontal="center" vertical="center" wrapText="1"/>
    </x:xf>
    <x:xf numFmtId="167" fontId="12" fillId="22" borderId="3" xfId="0" applyNumberFormat="1" applyFont="1" applyFill="1" applyBorder="1" applyAlignment="1">
      <x:alignment horizontal="center" vertical="center" wrapText="1"/>
    </x:xf>
    <x:xf numFmtId="49" fontId="14" fillId="22" borderId="3" xfId="0" applyNumberFormat="1" applyFont="1" applyFill="1" applyBorder="1" applyAlignment="1">
      <x:alignment vertical="center" wrapText="1"/>
    </x:xf>
    <x:xf numFmtId="0" fontId="30" fillId="22" borderId="2" xfId="0" applyNumberFormat="1" applyFont="1" applyFill="1" applyBorder="1"/>
    <x:xf numFmtId="49" fontId="12" fillId="22" borderId="5" xfId="0" applyNumberFormat="1" applyFont="1" applyFill="1" applyBorder="1"/>
    <x:xf numFmtId="0" fontId="12" fillId="22" borderId="5" xfId="0" applyNumberFormat="1" applyFont="1" applyFill="1" applyBorder="1" applyAlignment="1">
      <x:alignment horizontal="center"/>
    </x:xf>
    <x:xf numFmtId="0" fontId="0" fillId="22" borderId="50" xfId="0" applyNumberFormat="1" applyFont="1" applyFill="1" applyBorder="1"/>
    <x:xf numFmtId="49" fontId="0" fillId="22" borderId="5" xfId="0" applyNumberFormat="1" applyFont="1" applyFill="1" applyBorder="1" applyAlignment="1">
      <x:alignment wrapText="1"/>
    </x:xf>
    <x:xf numFmtId="3" fontId="60" fillId="22" borderId="3" xfId="0" applyNumberFormat="1" applyFont="1" applyFill="1" applyBorder="1" applyAlignment="1">
      <x:alignment horizontal="center" vertical="center" wrapText="1"/>
    </x:xf>
    <x:xf numFmtId="9" fontId="60" fillId="22" borderId="4" xfId="0" applyNumberFormat="1" applyFont="1" applyFill="1" applyBorder="1"/>
    <x:xf numFmtId="166" fontId="60" fillId="22" borderId="3" xfId="0" applyNumberFormat="1" applyFont="1" applyFill="1" applyBorder="1" applyAlignment="1">
      <x:alignment horizontal="center" vertical="center" wrapText="1"/>
    </x:xf>
    <x:xf numFmtId="166" fontId="63" fillId="22" borderId="3" xfId="0" applyNumberFormat="1" applyFont="1" applyFill="1" applyBorder="1" applyAlignment="1">
      <x:alignment horizontal="center" vertical="center" wrapText="1"/>
    </x:xf>
    <x:xf numFmtId="0" fontId="60" fillId="22" borderId="4" xfId="0" applyNumberFormat="1" applyFont="1" applyFill="1" applyBorder="1" applyAlignment="1">
      <x:alignment vertical="top" wrapText="1"/>
    </x:xf>
    <x:xf numFmtId="49" fontId="65" fillId="22" borderId="2" xfId="0" applyNumberFormat="1" applyFont="1" applyFill="1" applyBorder="1" applyAlignment="1">
      <x:alignment vertical="center"/>
    </x:xf>
    <x:xf numFmtId="0" fontId="63" fillId="22" borderId="4" xfId="0" applyNumberFormat="1" applyFont="1" applyFill="1" applyBorder="1"/>
    <x:xf numFmtId="0" fontId="60" fillId="22" borderId="49" xfId="0" applyNumberFormat="1" applyFont="1" applyFill="1" applyBorder="1"/>
    <x:xf numFmtId="165" fontId="63" fillId="22" borderId="3" xfId="0" applyNumberFormat="1" applyFont="1" applyFill="1" applyBorder="1" applyAlignment="1">
      <x:alignment horizontal="center" vertical="center" wrapText="1"/>
    </x:xf>
    <x:xf numFmtId="2" fontId="60" fillId="22" borderId="2" xfId="0" applyNumberFormat="1" applyFont="1" applyFill="1" applyBorder="1"/>
    <x:xf numFmtId="0" fontId="60" fillId="22" borderId="3" xfId="0" applyNumberFormat="1" applyFont="1" applyFill="1" applyBorder="1" applyAlignment="1">
      <x:alignment horizontal="center" vertical="center" wrapText="1"/>
    </x:xf>
    <x:xf numFmtId="3" fontId="63" fillId="22" borderId="3" xfId="0" applyNumberFormat="1" applyFont="1" applyFill="1" applyBorder="1" applyAlignment="1">
      <x:alignment horizontal="center" vertical="center" wrapText="1"/>
    </x:xf>
    <x:xf numFmtId="0" fontId="64" fillId="22" borderId="2" xfId="0" applyNumberFormat="1" applyFont="1" applyFill="1" applyBorder="1"/>
    <x:xf numFmtId="0" fontId="64" fillId="22" borderId="1" xfId="0" applyNumberFormat="1" applyFont="1" applyFill="1" applyBorder="1"/>
    <x:xf numFmtId="167" fontId="61" fillId="22" borderId="3" xfId="0" applyNumberFormat="1" applyFont="1" applyFill="1" applyBorder="1" applyAlignment="1">
      <x:alignment horizontal="center" vertical="center" wrapText="1"/>
    </x:xf>
    <x:xf numFmtId="167" fontId="60" fillId="22" borderId="3" xfId="0" applyNumberFormat="1" applyFont="1" applyFill="1" applyBorder="1" applyAlignment="1">
      <x:alignment horizontal="center" vertical="center" wrapText="1"/>
    </x:xf>
    <x:xf numFmtId="0" fontId="63" fillId="22" borderId="2" xfId="0" applyNumberFormat="1" applyFont="1" applyFill="1" applyBorder="1"/>
    <x:xf numFmtId="49" fontId="60" fillId="22" borderId="5" xfId="0" applyNumberFormat="1" applyFont="1" applyFill="1" applyBorder="1"/>
    <x:xf numFmtId="0" fontId="60" fillId="22" borderId="5" xfId="0" applyNumberFormat="1" applyFont="1" applyFill="1" applyBorder="1" applyAlignment="1">
      <x:alignment horizontal="center"/>
    </x:xf>
    <x:xf numFmtId="0" fontId="61" fillId="22" borderId="50" xfId="0" applyNumberFormat="1" applyFont="1" applyFill="1" applyBorder="1"/>
    <x:xf numFmtId="49" fontId="61" fillId="22" borderId="5" xfId="0" applyNumberFormat="1" applyFont="1" applyFill="1" applyBorder="1" applyAlignment="1">
      <x:alignment wrapText="1"/>
    </x:xf>
    <x:xf numFmtId="3" fontId="60" fillId="22" borderId="76" xfId="0" applyNumberFormat="1" applyFont="1" applyFill="1" applyBorder="1" applyAlignment="1">
      <x:alignment horizontal="center" vertical="center" wrapText="1"/>
    </x:xf>
    <x:xf numFmtId="9" fontId="60" fillId="22" borderId="76" xfId="0" applyNumberFormat="1" applyFont="1" applyFill="1" applyBorder="1"/>
    <x:xf numFmtId="166" fontId="60" fillId="22" borderId="76" xfId="0" applyNumberFormat="1" applyFont="1" applyFill="1" applyBorder="1" applyAlignment="1">
      <x:alignment horizontal="center" vertical="center" wrapText="1"/>
    </x:xf>
    <x:xf numFmtId="166" fontId="63" fillId="22" borderId="76" xfId="0" applyNumberFormat="1" applyFont="1" applyFill="1" applyBorder="1" applyAlignment="1">
      <x:alignment horizontal="center" vertical="center" wrapText="1"/>
    </x:xf>
    <x:xf numFmtId="0" fontId="60" fillId="22" borderId="76" xfId="0" applyNumberFormat="1" applyFont="1" applyFill="1" applyBorder="1" applyAlignment="1">
      <x:alignment vertical="top" wrapText="1"/>
    </x:xf>
    <x:xf numFmtId="49" fontId="65" fillId="22" borderId="84" xfId="0" applyNumberFormat="1" applyFont="1" applyFill="1" applyBorder="1" applyAlignment="1">
      <x:alignment vertical="center"/>
    </x:xf>
    <x:xf numFmtId="0" fontId="65" fillId="22" borderId="84" xfId="0" applyNumberFormat="1" applyFont="1" applyFill="1" applyBorder="1" applyAlignment="1">
      <x:alignment vertical="center"/>
    </x:xf>
    <x:xf numFmtId="0" fontId="61" fillId="22" borderId="84" xfId="0" applyNumberFormat="1" applyFont="1" applyFill="1" applyBorder="1" applyAlignment="1">
      <x:alignment horizontal="center"/>
    </x:xf>
    <x:xf numFmtId="0" fontId="63" fillId="22" borderId="76" xfId="0" applyNumberFormat="1" applyFont="1" applyFill="1" applyBorder="1"/>
    <x:xf numFmtId="165" fontId="63" fillId="22" borderId="76" xfId="0" applyNumberFormat="1" applyFont="1" applyFill="1" applyBorder="1" applyAlignment="1">
      <x:alignment horizontal="center" vertical="center" wrapText="1"/>
    </x:xf>
    <x:xf numFmtId="2" fontId="60" fillId="22" borderId="76" xfId="0" applyNumberFormat="1" applyFont="1" applyFill="1" applyBorder="1"/>
    <x:xf numFmtId="0" fontId="60" fillId="22" borderId="76" xfId="0" applyNumberFormat="1" applyFont="1" applyFill="1" applyBorder="1" applyAlignment="1">
      <x:alignment horizontal="center" vertical="center" wrapText="1"/>
    </x:xf>
    <x:xf numFmtId="3" fontId="63" fillId="22" borderId="76" xfId="0" applyNumberFormat="1" applyFont="1" applyFill="1" applyBorder="1" applyAlignment="1">
      <x:alignment horizontal="center" vertical="center" wrapText="1"/>
    </x:xf>
    <x:xf numFmtId="0" fontId="60" fillId="22" borderId="84" xfId="0" applyNumberFormat="1" applyFont="1" applyFill="1" applyBorder="1"/>
    <x:xf numFmtId="167" fontId="61" fillId="22" borderId="76" xfId="0" applyNumberFormat="1" applyFont="1" applyFill="1" applyBorder="1" applyAlignment="1">
      <x:alignment horizontal="center" vertical="center" wrapText="1"/>
    </x:xf>
    <x:xf numFmtId="167" fontId="60" fillId="22" borderId="76" xfId="0" applyNumberFormat="1" applyFont="1" applyFill="1" applyBorder="1" applyAlignment="1">
      <x:alignment horizontal="center" vertical="center" wrapText="1"/>
    </x:xf>
    <x:xf numFmtId="167" fontId="60" fillId="22" borderId="90" xfId="0" applyNumberFormat="1" applyFont="1" applyFill="1" applyBorder="1" applyAlignment="1">
      <x:alignment horizontal="center" vertical="center" wrapText="1"/>
    </x:xf>
    <x:xf numFmtId="49" fontId="60" fillId="22" borderId="76" xfId="0" applyNumberFormat="1" applyFont="1" applyFill="1" applyBorder="1"/>
    <x:xf numFmtId="49" fontId="63" fillId="22" borderId="76" xfId="0" applyNumberFormat="1" applyFont="1" applyFill="1" applyBorder="1" applyAlignment="1">
      <x:alignment vertical="center"/>
    </x:xf>
    <x:xf numFmtId="49" fontId="60" fillId="22" borderId="76" xfId="0" applyNumberFormat="1" applyFont="1" applyFill="1" applyBorder="1" applyAlignment="1">
      <x:alignment vertical="center" wrapText="1"/>
    </x:xf>
    <x:xf numFmtId="49" fontId="61" fillId="22" borderId="91" xfId="0" applyNumberFormat="1" applyFont="1" applyFill="1" applyBorder="1" applyAlignment="1">
      <x:alignment wrapText="1"/>
    </x:xf>
    <x:xf numFmtId="0" fontId="61" fillId="22" borderId="79" xfId="0" applyNumberFormat="1" applyFont="1" applyFill="1" applyBorder="1"/>
    <x:xf numFmtId="0" fontId="61" fillId="22" borderId="92" xfId="0" applyNumberFormat="1" applyFont="1" applyFill="1" applyBorder="1"/>
    <x:xf numFmtId="9" fontId="60" fillId="22" borderId="76" xfId="0" applyNumberFormat="1" applyFont="1" applyFill="1" applyBorder="1" applyAlignment="1">
      <x:alignment wrapText="0"/>
    </x:xf>
    <x:xf numFmtId="166" fontId="60" fillId="22" borderId="76" xfId="0" applyNumberFormat="1" applyFont="1" applyFill="1" applyBorder="1" applyAlignment="1">
      <x:alignment horizontal="center" vertical="center" wrapText="0"/>
    </x:xf>
    <x:xf numFmtId="166" fontId="63" fillId="22" borderId="76" xfId="0" applyNumberFormat="1" applyFont="1" applyFill="1" applyBorder="1" applyAlignment="1">
      <x:alignment horizontal="center" vertical="center" wrapText="0"/>
    </x:xf>
    <x:xf numFmtId="49" fontId="65" fillId="22" borderId="84" xfId="0" applyNumberFormat="1" applyFont="1" applyFill="1" applyBorder="1" applyAlignment="1">
      <x:alignment vertical="center" wrapText="0"/>
    </x:xf>
    <x:xf numFmtId="0" fontId="65" fillId="22" borderId="84" xfId="0" applyNumberFormat="1" applyFont="1" applyFill="1" applyBorder="1" applyAlignment="1">
      <x:alignment vertical="center" wrapText="0"/>
    </x:xf>
    <x:xf numFmtId="0" fontId="61" fillId="22" borderId="84" xfId="0" applyNumberFormat="1" applyFont="1" applyFill="1" applyBorder="1" applyAlignment="1">
      <x:alignment horizontal="center" wrapText="0"/>
    </x:xf>
    <x:xf numFmtId="0" fontId="63" fillId="22" borderId="76" xfId="0" applyNumberFormat="1" applyFont="1" applyFill="1" applyBorder="1" applyAlignment="1">
      <x:alignment wrapText="0"/>
    </x:xf>
    <x:xf numFmtId="165" fontId="63" fillId="22" borderId="76" xfId="0" applyNumberFormat="1" applyFont="1" applyFill="1" applyBorder="1" applyAlignment="1">
      <x:alignment horizontal="center" vertical="center" wrapText="0"/>
    </x:xf>
    <x:xf numFmtId="2" fontId="60" fillId="22" borderId="76" xfId="0" applyNumberFormat="1" applyFont="1" applyFill="1" applyBorder="1" applyAlignment="1">
      <x:alignment wrapText="0"/>
    </x:xf>
    <x:xf numFmtId="0" fontId="60" fillId="22" borderId="84" xfId="0" applyNumberFormat="1" applyFont="1" applyFill="1" applyBorder="1" applyAlignment="1">
      <x:alignment wrapText="0"/>
    </x:xf>
    <x:xf numFmtId="167" fontId="61" fillId="22" borderId="76" xfId="0" applyNumberFormat="1" applyFont="1" applyFill="1" applyBorder="1" applyAlignment="1">
      <x:alignment horizontal="center" vertical="center" wrapText="0"/>
    </x:xf>
    <x:xf numFmtId="167" fontId="60" fillId="22" borderId="76" xfId="0" applyNumberFormat="1" applyFont="1" applyFill="1" applyBorder="1" applyAlignment="1">
      <x:alignment horizontal="center" vertical="center" wrapText="0"/>
    </x:xf>
    <x:xf numFmtId="167" fontId="60" fillId="22" borderId="90" xfId="0" applyNumberFormat="1" applyFont="1" applyFill="1" applyBorder="1" applyAlignment="1">
      <x:alignment horizontal="center" vertical="center" wrapText="0"/>
    </x:xf>
    <x:xf numFmtId="49" fontId="60" fillId="22" borderId="76" xfId="0" applyNumberFormat="1" applyFont="1" applyFill="1" applyBorder="1" applyAlignment="1">
      <x:alignment wrapText="0"/>
    </x:xf>
    <x:xf numFmtId="49" fontId="63" fillId="22" borderId="76" xfId="0" applyNumberFormat="1" applyFont="1" applyFill="1" applyBorder="1" applyAlignment="1">
      <x:alignment vertical="center" wrapText="0"/>
    </x:xf>
    <x:xf numFmtId="49" fontId="60" fillId="22" borderId="76" xfId="0" applyNumberFormat="1" applyFont="1" applyFill="1" applyBorder="1" applyAlignment="1">
      <x:alignment vertical="center" wrapText="0"/>
    </x:xf>
    <x:xf numFmtId="49" fontId="61" fillId="22" borderId="91" xfId="0" applyNumberFormat="1" applyFont="1" applyFill="1" applyBorder="1" applyAlignment="1">
      <x:alignment wrapText="0"/>
    </x:xf>
    <x:xf numFmtId="0" fontId="61" fillId="22" borderId="79" xfId="0" applyNumberFormat="1" applyFont="1" applyFill="1" applyBorder="1" applyAlignment="1">
      <x:alignment wrapText="0"/>
    </x:xf>
    <x:xf numFmtId="0" fontId="61" fillId="22" borderId="92" xfId="0" applyNumberFormat="1" applyFont="1" applyFill="1" applyBorder="1" applyAlignment="1">
      <x:alignment wrapText="0"/>
    </x:xf>
    <x:xf numFmtId="9" fontId="60" fillId="22" borderId="76" xfId="0" applyNumberFormat="1" applyFont="1" applyFill="1" applyBorder="1" applyAlignment="1">
      <x:alignment vertical="top" wrapText="0"/>
    </x:xf>
    <x:xf numFmtId="166" fontId="60" fillId="22" borderId="76" xfId="0" applyNumberFormat="1" applyFont="1" applyFill="1" applyBorder="1" applyAlignment="1">
      <x:alignment horizontal="center" vertical="top" wrapText="0"/>
    </x:xf>
    <x:xf numFmtId="166" fontId="63" fillId="22" borderId="76" xfId="0" applyNumberFormat="1" applyFont="1" applyFill="1" applyBorder="1" applyAlignment="1">
      <x:alignment horizontal="center" vertical="top" wrapText="0"/>
    </x:xf>
    <x:xf numFmtId="49" fontId="65" fillId="22" borderId="84" xfId="0" applyNumberFormat="1" applyFont="1" applyFill="1" applyBorder="1" applyAlignment="1">
      <x:alignment vertical="top" wrapText="0"/>
    </x:xf>
    <x:xf numFmtId="0" fontId="65" fillId="22" borderId="84" xfId="0" applyNumberFormat="1" applyFont="1" applyFill="1" applyBorder="1" applyAlignment="1">
      <x:alignment vertical="top" wrapText="0"/>
    </x:xf>
    <x:xf numFmtId="0" fontId="61" fillId="22" borderId="84" xfId="0" applyNumberFormat="1" applyFont="1" applyFill="1" applyBorder="1" applyAlignment="1">
      <x:alignment horizontal="center" vertical="top" wrapText="0"/>
    </x:xf>
    <x:xf numFmtId="165" fontId="63" fillId="22" borderId="76" xfId="0" applyNumberFormat="1" applyFont="1" applyFill="1" applyBorder="1" applyAlignment="1">
      <x:alignment horizontal="center" vertical="top" wrapText="0"/>
    </x:xf>
    <x:xf numFmtId="2" fontId="60" fillId="22" borderId="76" xfId="0" applyNumberFormat="1" applyFont="1" applyFill="1" applyBorder="1" applyAlignment="1">
      <x:alignment vertical="top" wrapText="0"/>
    </x:xf>
    <x:xf numFmtId="0" fontId="60" fillId="22" borderId="84" xfId="0" applyNumberFormat="1" applyFont="1" applyFill="1" applyBorder="1" applyAlignment="1">
      <x:alignment vertical="top" wrapText="0"/>
    </x:xf>
    <x:xf numFmtId="167" fontId="61" fillId="22" borderId="76" xfId="0" applyNumberFormat="1" applyFont="1" applyFill="1" applyBorder="1" applyAlignment="1">
      <x:alignment horizontal="center" vertical="top" wrapText="0"/>
    </x:xf>
    <x:xf numFmtId="167" fontId="60" fillId="22" borderId="76" xfId="0" applyNumberFormat="1" applyFont="1" applyFill="1" applyBorder="1" applyAlignment="1">
      <x:alignment horizontal="center" vertical="top" wrapText="0"/>
    </x:xf>
    <x:xf numFmtId="167" fontId="60" fillId="22" borderId="90" xfId="0" applyNumberFormat="1" applyFont="1" applyFill="1" applyBorder="1" applyAlignment="1">
      <x:alignment horizontal="center" vertical="top" wrapText="0"/>
    </x:xf>
    <x:xf numFmtId="49" fontId="60" fillId="22" borderId="76" xfId="0" applyNumberFormat="1" applyFont="1" applyFill="1" applyBorder="1" applyAlignment="1">
      <x:alignment vertical="top" wrapText="0"/>
    </x:xf>
    <x:xf numFmtId="49" fontId="61" fillId="22" borderId="91" xfId="0" applyNumberFormat="1" applyFont="1" applyFill="1" applyBorder="1" applyAlignment="1">
      <x:alignment vertical="top" wrapText="0"/>
    </x:xf>
    <x:xf numFmtId="0" fontId="61" fillId="22" borderId="79" xfId="0" applyNumberFormat="1" applyFont="1" applyFill="1" applyBorder="1" applyAlignment="1">
      <x:alignment vertical="top" wrapText="0"/>
    </x:xf>
    <x:xf numFmtId="0" fontId="61" fillId="22" borderId="92" xfId="0" applyNumberFormat="1" applyFont="1" applyFill="1" applyBorder="1" applyAlignment="1">
      <x:alignment vertical="top" wrapText="0"/>
    </x:xf>
    <x:xf numFmtId="164" fontId="5" fillId="22" borderId="11" xfId="0" applyNumberFormat="1" applyFont="1" applyFill="1" applyBorder="1" applyAlignment="1">
      <x:alignment horizontal="center" vertical="center"/>
    </x:xf>
    <x:xf numFmtId="164" fontId="5" fillId="22" borderId="12" xfId="0" applyNumberFormat="1" applyFont="1" applyFill="1" applyBorder="1" applyAlignment="1">
      <x:alignment horizontal="center" vertical="center"/>
    </x:xf>
    <x:xf numFmtId="164" fontId="5" fillId="22" borderId="15" xfId="0" applyNumberFormat="1" applyFont="1" applyFill="1" applyBorder="1" applyAlignment="1">
      <x:alignment horizontal="center" vertical="center"/>
    </x:xf>
    <x:xf numFmtId="164" fontId="5" fillId="22" borderId="16" xfId="0" applyNumberFormat="1" applyFont="1" applyFill="1" applyBorder="1" applyAlignment="1">
      <x:alignment horizontal="center" vertical="center"/>
    </x:xf>
    <x:xf numFmtId="49" fontId="63" fillId="22" borderId="11" xfId="0" applyNumberFormat="1" applyFont="1" applyFill="1" applyBorder="1" applyAlignment="1">
      <x:alignment horizontal="center" vertical="center" wrapText="1"/>
    </x:xf>
    <x:xf numFmtId="49" fontId="63" fillId="22" borderId="12" xfId="0" applyNumberFormat="1" applyFont="1" applyFill="1" applyBorder="1" applyAlignment="1">
      <x:alignment horizontal="center" vertical="center" wrapText="1"/>
    </x:xf>
    <x:xf numFmtId="49" fontId="63" fillId="22" borderId="13" xfId="0" applyNumberFormat="1" applyFont="1" applyFill="1" applyBorder="1" applyAlignment="1">
      <x:alignment horizontal="center" vertical="center" wrapText="1"/>
    </x:xf>
    <x:xf numFmtId="0" fontId="61" fillId="22" borderId="14" xfId="0" applyNumberFormat="1" applyFont="1" applyFill="1" applyBorder="1"/>
    <x:xf numFmtId="164" fontId="60" fillId="22" borderId="11" xfId="0" applyNumberFormat="1" applyFont="1" applyFill="1" applyBorder="1" applyAlignment="1">
      <x:alignment horizontal="center" vertical="center"/>
    </x:xf>
    <x:xf numFmtId="164" fontId="60" fillId="22" borderId="12" xfId="0" applyNumberFormat="1" applyFont="1" applyFill="1" applyBorder="1" applyAlignment="1">
      <x:alignment horizontal="center" vertical="center"/>
    </x:xf>
    <x:xf numFmtId="49" fontId="60" fillId="22" borderId="12" xfId="0" applyNumberFormat="1" applyFont="1" applyFill="1" applyBorder="1" applyAlignment="1">
      <x:alignment horizontal="center" vertical="center"/>
    </x:xf>
    <x:xf numFmtId="49" fontId="60" fillId="22" borderId="12" xfId="0" applyNumberFormat="1" applyFont="1" applyFill="1" applyBorder="1" applyAlignment="1">
      <x:alignment horizontal="left" vertical="center" wrapText="1"/>
    </x:xf>
    <x:xf numFmtId="0" fontId="60" fillId="22" borderId="12" xfId="0" applyNumberFormat="1" applyFont="1" applyFill="1" applyBorder="1" applyAlignment="1">
      <x:alignment horizontal="center" vertical="center"/>
    </x:xf>
    <x:xf numFmtId="49" fontId="60" fillId="22" borderId="13" xfId="0" applyNumberFormat="1" applyFont="1" applyFill="1" applyBorder="1" applyAlignment="1">
      <x:alignment horizontal="left" vertical="center" wrapText="1"/>
    </x:xf>
    <x:xf numFmtId="164" fontId="60" fillId="22" borderId="15" xfId="0" applyNumberFormat="1" applyFont="1" applyFill="1" applyBorder="1" applyAlignment="1">
      <x:alignment horizontal="center" vertical="center"/>
    </x:xf>
    <x:xf numFmtId="164" fontId="60" fillId="22" borderId="16" xfId="0" applyNumberFormat="1" applyFont="1" applyFill="1" applyBorder="1" applyAlignment="1">
      <x:alignment horizontal="center" vertical="center"/>
    </x:xf>
    <x:xf numFmtId="49" fontId="60" fillId="22" borderId="16" xfId="0" applyNumberFormat="1" applyFont="1" applyFill="1" applyBorder="1" applyAlignment="1">
      <x:alignment horizontal="center" vertical="center"/>
    </x:xf>
    <x:xf numFmtId="49" fontId="60" fillId="22" borderId="16" xfId="0" applyNumberFormat="1" applyFont="1" applyFill="1" applyBorder="1" applyAlignment="1">
      <x:alignment horizontal="left" vertical="center" wrapText="1"/>
    </x:xf>
    <x:xf numFmtId="0" fontId="60" fillId="22" borderId="16" xfId="0" applyNumberFormat="1" applyFont="1" applyFill="1" applyBorder="1" applyAlignment="1">
      <x:alignment horizontal="center" vertical="center"/>
    </x:xf>
    <x:xf numFmtId="49" fontId="60" fillId="22" borderId="17" xfId="0" applyNumberFormat="1" applyFont="1" applyFill="1" applyBorder="1" applyAlignment="1">
      <x:alignment horizontal="left" vertical="center" wrapText="1"/>
    </x:xf>
    <x:xf numFmtId="0" fontId="61" fillId="22" borderId="18" xfId="0" applyNumberFormat="1" applyFont="1" applyFill="1" applyBorder="1"/>
    <x:xf numFmtId="49" fontId="63" fillId="22" borderId="117" xfId="0" applyNumberFormat="1" applyFont="1" applyFill="1" applyBorder="1" applyAlignment="1">
      <x:alignment horizontal="center" vertical="center" wrapText="1"/>
    </x:xf>
    <x:xf numFmtId="49" fontId="63" fillId="22" borderId="118" xfId="0" applyNumberFormat="1" applyFont="1" applyFill="1" applyBorder="1" applyAlignment="1">
      <x:alignment horizontal="center" vertical="center" wrapText="1"/>
    </x:xf>
    <x:xf numFmtId="0" fontId="61" fillId="22" borderId="119" xfId="0" applyNumberFormat="1" applyFont="1" applyFill="1" applyBorder="1"/>
    <x:xf numFmtId="164" fontId="60" fillId="22" borderId="120" xfId="0" applyNumberFormat="1" applyFont="1" applyFill="1" applyBorder="1" applyAlignment="1">
      <x:alignment horizontal="center" vertical="center"/>
    </x:xf>
    <x:xf numFmtId="164" fontId="60" fillId="22" borderId="76" xfId="0" applyNumberFormat="1" applyFont="1" applyFill="1" applyBorder="1" applyAlignment="1">
      <x:alignment horizontal="center" vertical="center"/>
    </x:xf>
    <x:xf numFmtId="49" fontId="60" fillId="22" borderId="76" xfId="0" applyNumberFormat="1" applyFont="1" applyFill="1" applyBorder="1" applyAlignment="1">
      <x:alignment horizontal="center" vertical="center"/>
    </x:xf>
    <x:xf numFmtId="49" fontId="60" fillId="22" borderId="76" xfId="0" applyNumberFormat="1" applyFont="1" applyFill="1" applyBorder="1" applyAlignment="1">
      <x:alignment horizontal="left" vertical="center" wrapText="1"/>
    </x:xf>
    <x:xf numFmtId="0" fontId="61" fillId="22" borderId="121" xfId="0" applyNumberFormat="1" applyFont="1" applyFill="1" applyBorder="1"/>
    <x:xf numFmtId="0" fontId="61" fillId="22" borderId="122" xfId="0" applyNumberFormat="1" applyFont="1" applyFill="1" applyBorder="1"/>
    <x:xf numFmtId="0" fontId="61" fillId="22" borderId="123" xfId="0" applyNumberFormat="1" applyFont="1" applyFill="1" applyBorder="1"/>
    <x:xf numFmtId="49" fontId="63" fillId="22" borderId="117" xfId="0" applyNumberFormat="1" applyFont="1" applyFill="1" applyBorder="1" applyAlignment="1">
      <x:alignment horizontal="center" vertical="center" wrapText="0"/>
    </x:xf>
    <x:xf numFmtId="49" fontId="63" fillId="22" borderId="118" xfId="0" applyNumberFormat="1" applyFont="1" applyFill="1" applyBorder="1" applyAlignment="1">
      <x:alignment horizontal="center" vertical="center" wrapText="0"/>
    </x:xf>
    <x:xf numFmtId="0" fontId="61" fillId="22" borderId="119" xfId="0" applyNumberFormat="1" applyFont="1" applyFill="1" applyBorder="1" applyAlignment="1">
      <x:alignment wrapText="0"/>
    </x:xf>
    <x:xf numFmtId="164" fontId="60" fillId="22" borderId="120" xfId="0" applyNumberFormat="1" applyFont="1" applyFill="1" applyBorder="1" applyAlignment="1">
      <x:alignment horizontal="center" vertical="center" wrapText="0"/>
    </x:xf>
    <x:xf numFmtId="164" fontId="60" fillId="22" borderId="76" xfId="0" applyNumberFormat="1" applyFont="1" applyFill="1" applyBorder="1" applyAlignment="1">
      <x:alignment horizontal="center" vertical="center" wrapText="0"/>
    </x:xf>
    <x:xf numFmtId="49" fontId="60" fillId="22" borderId="76" xfId="0" applyNumberFormat="1" applyFont="1" applyFill="1" applyBorder="1" applyAlignment="1">
      <x:alignment horizontal="center" vertical="center" wrapText="0"/>
    </x:xf>
    <x:xf numFmtId="49" fontId="60" fillId="22" borderId="76" xfId="0" applyNumberFormat="1" applyFont="1" applyFill="1" applyBorder="1" applyAlignment="1">
      <x:alignment horizontal="left" vertical="center" wrapText="0"/>
    </x:xf>
    <x:xf numFmtId="0" fontId="61" fillId="22" borderId="121" xfId="0" applyNumberFormat="1" applyFont="1" applyFill="1" applyBorder="1" applyAlignment="1">
      <x:alignment wrapText="0"/>
    </x:xf>
    <x:xf numFmtId="0" fontId="61" fillId="22" borderId="122" xfId="0" applyNumberFormat="1" applyFont="1" applyFill="1" applyBorder="1" applyAlignment="1">
      <x:alignment wrapText="0"/>
    </x:xf>
    <x:xf numFmtId="0" fontId="61" fillId="22" borderId="123" xfId="0" applyNumberFormat="1" applyFont="1" applyFill="1" applyBorder="1" applyAlignment="1">
      <x:alignment wrapText="0"/>
    </x:xf>
    <x:xf numFmtId="49" fontId="63" fillId="22" borderId="117" xfId="0" applyNumberFormat="1" applyFont="1" applyFill="1" applyBorder="1" applyAlignment="1">
      <x:alignment horizontal="center" vertical="top" wrapText="0"/>
    </x:xf>
    <x:xf numFmtId="49" fontId="63" fillId="22" borderId="118" xfId="0" applyNumberFormat="1" applyFont="1" applyFill="1" applyBorder="1" applyAlignment="1">
      <x:alignment horizontal="center" vertical="top" wrapText="0"/>
    </x:xf>
    <x:xf numFmtId="0" fontId="61" fillId="22" borderId="119" xfId="0" applyNumberFormat="1" applyFont="1" applyFill="1" applyBorder="1" applyAlignment="1">
      <x:alignment vertical="top" wrapText="0"/>
    </x:xf>
    <x:xf numFmtId="164" fontId="60" fillId="22" borderId="120" xfId="0" applyNumberFormat="1" applyFont="1" applyFill="1" applyBorder="1" applyAlignment="1">
      <x:alignment horizontal="center" vertical="top" wrapText="0"/>
    </x:xf>
    <x:xf numFmtId="164" fontId="60" fillId="22" borderId="76" xfId="0" applyNumberFormat="1" applyFont="1" applyFill="1" applyBorder="1" applyAlignment="1">
      <x:alignment horizontal="center" vertical="top" wrapText="0"/>
    </x:xf>
    <x:xf numFmtId="49" fontId="60" fillId="22" borderId="76" xfId="0" applyNumberFormat="1" applyFont="1" applyFill="1" applyBorder="1" applyAlignment="1">
      <x:alignment horizontal="center" vertical="top" wrapText="0"/>
    </x:xf>
    <x:xf numFmtId="49" fontId="60" fillId="22" borderId="76" xfId="0" applyNumberFormat="1" applyFont="1" applyFill="1" applyBorder="1" applyAlignment="1">
      <x:alignment horizontal="left" vertical="top" wrapText="0"/>
    </x:xf>
    <x:xf numFmtId="0" fontId="61" fillId="22" borderId="121" xfId="0" applyNumberFormat="1" applyFont="1" applyFill="1" applyBorder="1" applyAlignment="1">
      <x:alignment vertical="top" wrapText="0"/>
    </x:xf>
    <x:xf numFmtId="0" fontId="61" fillId="22" borderId="122" xfId="0" applyNumberFormat="1" applyFont="1" applyFill="1" applyBorder="1" applyAlignment="1">
      <x:alignment vertical="top" wrapText="0"/>
    </x:xf>
    <x:xf numFmtId="0" fontId="61" fillId="22" borderId="123" xfId="0" applyNumberFormat="1" applyFont="1" applyFill="1" applyBorder="1" applyAlignment="1">
      <x:alignment vertical="top" wrapText="0"/>
    </x:xf>
    <x:xf numFmtId="200" fontId="63" fillId="22" borderId="118" xfId="0" applyNumberFormat="1" applyFont="1" applyFill="1" applyBorder="1" applyAlignment="1">
      <x:alignment horizontal="center" vertical="top" wrapText="0"/>
    </x:xf>
    <x:xf numFmtId="201" fontId="63" fillId="22" borderId="118" xfId="0" applyNumberFormat="1" applyFont="1" applyFill="1" applyBorder="1" applyAlignment="1">
      <x:alignment horizontal="center" vertical="top" wrapText="0"/>
    </x:xf>
    <x:xf numFmtId="49" fontId="0" fillId="22" borderId="14" xfId="0" applyNumberFormat="1" applyFont="1" applyFill="1" applyBorder="1"/>
    <x:xf numFmtId="3" fontId="5" fillId="22" borderId="12" xfId="0" applyNumberFormat="1" applyFont="1" applyFill="1" applyBorder="1" applyAlignment="1">
      <x:alignment horizontal="center" vertical="center"/>
    </x:xf>
    <x:xf numFmtId="10" fontId="5" fillId="22" borderId="12" xfId="0" applyNumberFormat="1" applyFont="1" applyFill="1" applyBorder="1" applyAlignment="1">
      <x:alignment horizontal="center" vertical="center"/>
    </x:xf>
    <x:xf numFmtId="49" fontId="5" fillId="22" borderId="12" xfId="0" applyNumberFormat="1" applyFont="1" applyFill="1" applyBorder="1" applyAlignment="1">
      <x:alignment horizontal="center" vertical="center" wrapText="1"/>
    </x:xf>
    <x:xf numFmtId="3" fontId="5" fillId="22" borderId="16" xfId="0" applyNumberFormat="1" applyFont="1" applyFill="1" applyBorder="1" applyAlignment="1">
      <x:alignment horizontal="center" vertical="center"/>
    </x:xf>
    <x:xf numFmtId="10" fontId="5" fillId="22" borderId="16" xfId="0" applyNumberFormat="1" applyFont="1" applyFill="1" applyBorder="1" applyAlignment="1">
      <x:alignment horizontal="center" vertical="center"/>
    </x:xf>
    <x:xf numFmtId="49" fontId="5" fillId="22" borderId="16" xfId="0" applyNumberFormat="1" applyFont="1" applyFill="1" applyBorder="1" applyAlignment="1">
      <x:alignment horizontal="center" vertical="center" wrapText="1"/>
    </x:xf>
    <x:xf numFmtId="49" fontId="61" fillId="22" borderId="14" xfId="0" applyNumberFormat="1" applyFont="1" applyFill="1" applyBorder="1"/>
    <x:xf numFmtId="3" fontId="60" fillId="22" borderId="12" xfId="0" applyNumberFormat="1" applyFont="1" applyFill="1" applyBorder="1" applyAlignment="1">
      <x:alignment horizontal="center" vertical="center"/>
    </x:xf>
    <x:xf numFmtId="10" fontId="60" fillId="22" borderId="12" xfId="0" applyNumberFormat="1" applyFont="1" applyFill="1" applyBorder="1" applyAlignment="1">
      <x:alignment horizontal="center" vertical="center"/>
    </x:xf>
    <x:xf numFmtId="49" fontId="60" fillId="22" borderId="12" xfId="0" applyNumberFormat="1" applyFont="1" applyFill="1" applyBorder="1" applyAlignment="1">
      <x:alignment horizontal="center" vertical="center" wrapText="1"/>
    </x:xf>
    <x:xf numFmtId="3" fontId="60" fillId="22" borderId="16" xfId="0" applyNumberFormat="1" applyFont="1" applyFill="1" applyBorder="1" applyAlignment="1">
      <x:alignment horizontal="center" vertical="center"/>
    </x:xf>
    <x:xf numFmtId="10" fontId="60" fillId="22" borderId="16" xfId="0" applyNumberFormat="1" applyFont="1" applyFill="1" applyBorder="1" applyAlignment="1">
      <x:alignment horizontal="center" vertical="center"/>
    </x:xf>
    <x:xf numFmtId="49" fontId="60" fillId="22" borderId="16" xfId="0" applyNumberFormat="1" applyFont="1" applyFill="1" applyBorder="1" applyAlignment="1">
      <x:alignment horizontal="center" vertical="center" wrapText="1"/>
    </x:xf>
    <x:xf numFmtId="49" fontId="61" fillId="22" borderId="119" xfId="0" applyNumberFormat="1" applyFont="1" applyFill="1" applyBorder="1"/>
    <x:xf numFmtId="10" fontId="60" fillId="22" borderId="76" xfId="0" applyNumberFormat="1" applyFont="1" applyFill="1" applyBorder="1" applyAlignment="1">
      <x:alignment horizontal="center" vertical="center"/>
    </x:xf>
    <x:xf numFmtId="49" fontId="60" fillId="22" borderId="76" xfId="0" applyNumberFormat="1" applyFont="1" applyFill="1" applyBorder="1" applyAlignment="1">
      <x:alignment horizontal="center" vertical="center" wrapText="1"/>
    </x:xf>
    <x:xf numFmtId="49" fontId="61" fillId="22" borderId="119" xfId="0" applyNumberFormat="1" applyFont="1" applyFill="1" applyBorder="1" applyAlignment="1">
      <x:alignment wrapText="0"/>
    </x:xf>
    <x:xf numFmtId="10" fontId="60" fillId="22" borderId="76" xfId="0" applyNumberFormat="1" applyFont="1" applyFill="1" applyBorder="1" applyAlignment="1">
      <x:alignment horizontal="center" vertical="center" wrapText="0"/>
    </x:xf>
    <x:xf numFmtId="49" fontId="61" fillId="22" borderId="119" xfId="0" applyNumberFormat="1" applyFont="1" applyFill="1" applyBorder="1" applyAlignment="1">
      <x:alignment vertical="top" wrapText="0"/>
    </x:xf>
    <x:xf numFmtId="10" fontId="60" fillId="22" borderId="76" xfId="0" applyNumberFormat="1" applyFont="1" applyFill="1" applyBorder="1" applyAlignment="1">
      <x:alignment horizontal="center" vertical="top" wrapText="0"/>
    </x:xf>
    <x:xf numFmtId="167" fontId="63" fillId="22" borderId="118" xfId="0" applyNumberFormat="1" applyFont="1" applyFill="1" applyBorder="1" applyAlignment="1">
      <x:alignment horizontal="center" vertical="top" wrapText="0"/>
    </x:xf>
    <x:xf numFmtId="49" fontId="39" fillId="22" borderId="51" xfId="0" applyNumberFormat="1" applyFont="1" applyFill="1" applyBorder="1" applyAlignment="1">
      <x:alignment horizontal="left" vertical="center"/>
    </x:xf>
    <x:xf numFmtId="0" fontId="39" fillId="22" borderId="52" xfId="0" applyNumberFormat="1" applyFont="1" applyFill="1" applyBorder="1" applyAlignment="1">
      <x:alignment horizontal="left" vertical="center"/>
    </x:xf>
    <x:xf numFmtId="0" fontId="38" fillId="22" borderId="53" xfId="0" applyNumberFormat="1" applyFont="1" applyFill="1" applyBorder="1"/>
    <x:xf numFmtId="49" fontId="41" fillId="22" borderId="54" xfId="0" applyNumberFormat="1" applyFont="1" applyFill="1" applyBorder="1" applyAlignment="1">
      <x:alignment horizontal="left" vertical="center" wrapText="1"/>
    </x:xf>
    <x:xf numFmtId="0" fontId="41" fillId="22" borderId="0" xfId="0" applyNumberFormat="1" applyFont="1" applyFill="1" applyBorder="1" applyAlignment="1">
      <x:alignment horizontal="left" vertical="center" wrapText="1"/>
    </x:xf>
    <x:xf numFmtId="0" fontId="38" fillId="22" borderId="55" xfId="0" applyNumberFormat="1" applyFont="1" applyFill="1" applyBorder="1"/>
    <x:xf numFmtId="49" fontId="42" fillId="22" borderId="56" xfId="0" applyNumberFormat="1" applyFont="1" applyFill="1" applyBorder="1" applyAlignment="1">
      <x:alignment horizontal="center" vertical="center" wrapText="1"/>
    </x:xf>
    <x:xf numFmtId="0" fontId="38" fillId="22" borderId="57" xfId="0" applyNumberFormat="1" applyFont="1" applyFill="1" applyBorder="1"/>
    <x:xf numFmtId="168" fontId="43" fillId="22" borderId="58" xfId="0" applyNumberFormat="1" applyFont="1" applyFill="1" applyBorder="1" applyAlignment="1">
      <x:alignment horizontal="center" vertical="top"/>
    </x:xf>
    <x:xf numFmtId="168" fontId="43" fillId="22" borderId="59" xfId="0" applyNumberFormat="1" applyFont="1" applyFill="1" applyBorder="1" applyAlignment="1">
      <x:alignment horizontal="center" vertical="top"/>
    </x:xf>
    <x:xf numFmtId="49" fontId="43" fillId="22" borderId="59" xfId="0" applyNumberFormat="1" applyFont="1" applyFill="1" applyBorder="1" applyAlignment="1">
      <x:alignment horizontal="center" vertical="top"/>
    </x:xf>
    <x:xf numFmtId="49" fontId="43" fillId="22" borderId="59" xfId="0" applyNumberFormat="1" applyFont="1" applyFill="1" applyBorder="1" applyAlignment="1">
      <x:alignment vertical="top" wrapText="1"/>
    </x:xf>
    <x:xf numFmtId="0" fontId="43" fillId="22" borderId="59" xfId="0" applyNumberFormat="1" applyFont="1" applyFill="1" applyBorder="1" applyAlignment="1">
      <x:alignment vertical="top" wrapText="1"/>
    </x:xf>
    <x:xf numFmtId="3" fontId="43" fillId="22" borderId="59" xfId="0" applyNumberFormat="1" applyFont="1" applyFill="1" applyBorder="1" applyAlignment="1">
      <x:alignment horizontal="right" vertical="top"/>
    </x:xf>
    <x:xf numFmtId="165" fontId="43" fillId="22" borderId="59" xfId="0" applyNumberFormat="1" applyFont="1" applyFill="1" applyBorder="1" applyAlignment="1">
      <x:alignment horizontal="right" vertical="top"/>
    </x:xf>
    <x:xf numFmtId="167" fontId="43" fillId="22" borderId="59" xfId="0" applyNumberFormat="1" applyFont="1" applyFill="1" applyBorder="1" applyAlignment="1">
      <x:alignment horizontal="right" vertical="top"/>
    </x:xf>
    <x:xf numFmtId="49" fontId="43" fillId="22" borderId="60" xfId="0" applyNumberFormat="1" applyFont="1" applyFill="1" applyBorder="1" applyAlignment="1">
      <x:alignment vertical="top" wrapText="1"/>
    </x:xf>
    <x:xf numFmtId="0" fontId="38" fillId="22" borderId="61" xfId="0" applyNumberFormat="1" applyFont="1" applyFill="1" applyBorder="1"/>
    <x:xf numFmtId="168" fontId="43" fillId="22" borderId="62" xfId="0" applyNumberFormat="1" applyFont="1" applyFill="1" applyBorder="1" applyAlignment="1">
      <x:alignment horizontal="center" vertical="top"/>
    </x:xf>
    <x:xf numFmtId="168" fontId="43" fillId="22" borderId="63" xfId="0" applyNumberFormat="1" applyFont="1" applyFill="1" applyBorder="1" applyAlignment="1">
      <x:alignment horizontal="center" vertical="top"/>
    </x:xf>
    <x:xf numFmtId="49" fontId="43" fillId="22" borderId="63" xfId="0" applyNumberFormat="1" applyFont="1" applyFill="1" applyBorder="1" applyAlignment="1">
      <x:alignment horizontal="center" vertical="top"/>
    </x:xf>
    <x:xf numFmtId="49" fontId="43" fillId="22" borderId="63" xfId="0" applyNumberFormat="1" applyFont="1" applyFill="1" applyBorder="1" applyAlignment="1">
      <x:alignment vertical="top" wrapText="1"/>
    </x:xf>
    <x:xf numFmtId="0" fontId="43" fillId="22" borderId="63" xfId="0" applyNumberFormat="1" applyFont="1" applyFill="1" applyBorder="1" applyAlignment="1">
      <x:alignment vertical="top" wrapText="1"/>
    </x:xf>
    <x:xf numFmtId="3" fontId="43" fillId="22" borderId="63" xfId="0" applyNumberFormat="1" applyFont="1" applyFill="1" applyBorder="1" applyAlignment="1">
      <x:alignment horizontal="right" vertical="top"/>
    </x:xf>
    <x:xf numFmtId="165" fontId="43" fillId="22" borderId="63" xfId="0" applyNumberFormat="1" applyFont="1" applyFill="1" applyBorder="1" applyAlignment="1">
      <x:alignment horizontal="right" vertical="top"/>
    </x:xf>
    <x:xf numFmtId="167" fontId="43" fillId="22" borderId="63" xfId="0" applyNumberFormat="1" applyFont="1" applyFill="1" applyBorder="1" applyAlignment="1">
      <x:alignment horizontal="right" vertical="top"/>
    </x:xf>
    <x:xf numFmtId="49" fontId="43" fillId="22" borderId="64" xfId="0" applyNumberFormat="1" applyFont="1" applyFill="1" applyBorder="1" applyAlignment="1">
      <x:alignment vertical="top" wrapText="1"/>
    </x:xf>
    <x:xf numFmtId="0" fontId="38" fillId="22" borderId="65" xfId="0" applyNumberFormat="1" applyFont="1" applyFill="1" applyBorder="1"/>
    <x:xf numFmtId="0" fontId="38" fillId="22" borderId="66" xfId="0" applyNumberFormat="1" applyFont="1" applyFill="1" applyBorder="1"/>
    <x:xf numFmtId="0" fontId="38" fillId="22" borderId="67" xfId="0" applyNumberFormat="1" applyFont="1" applyFill="1" applyBorder="1"/>
    <x:xf numFmtId="49" fontId="63" fillId="22" borderId="51" xfId="0" applyNumberFormat="1" applyFont="1" applyFill="1" applyBorder="1" applyAlignment="1">
      <x:alignment horizontal="left" vertical="center"/>
    </x:xf>
    <x:xf numFmtId="0" fontId="63" fillId="22" borderId="52" xfId="0" applyNumberFormat="1" applyFont="1" applyFill="1" applyBorder="1" applyAlignment="1">
      <x:alignment horizontal="left" vertical="center"/>
    </x:xf>
    <x:xf numFmtId="0" fontId="61" fillId="22" borderId="53" xfId="0" applyNumberFormat="1" applyFont="1" applyFill="1" applyBorder="1"/>
    <x:xf numFmtId="0" fontId="61" fillId="22" borderId="0" xfId="0" applyNumberFormat="1" applyFont="1" applyFill="1" applyBorder="1"/>
    <x:xf numFmtId="49" fontId="64" fillId="22" borderId="54" xfId="0" applyNumberFormat="1" applyFont="1" applyFill="1" applyBorder="1" applyAlignment="1">
      <x:alignment horizontal="left" vertical="center" wrapText="1"/>
    </x:xf>
    <x:xf numFmtId="0" fontId="64" fillId="22" borderId="0" xfId="0" applyNumberFormat="1" applyFont="1" applyFill="1" applyBorder="1" applyAlignment="1">
      <x:alignment horizontal="left" vertical="center" wrapText="1"/>
    </x:xf>
    <x:xf numFmtId="0" fontId="61" fillId="22" borderId="55" xfId="0" applyNumberFormat="1" applyFont="1" applyFill="1" applyBorder="1"/>
    <x:xf numFmtId="49" fontId="63" fillId="22" borderId="56" xfId="0" applyNumberFormat="1" applyFont="1" applyFill="1" applyBorder="1" applyAlignment="1">
      <x:alignment horizontal="center" vertical="center" wrapText="1"/>
    </x:xf>
    <x:xf numFmtId="0" fontId="61" fillId="22" borderId="57" xfId="0" applyNumberFormat="1" applyFont="1" applyFill="1" applyBorder="1"/>
    <x:xf numFmtId="168" fontId="60" fillId="22" borderId="58" xfId="0" applyNumberFormat="1" applyFont="1" applyFill="1" applyBorder="1" applyAlignment="1">
      <x:alignment horizontal="center" vertical="top"/>
    </x:xf>
    <x:xf numFmtId="168" fontId="60" fillId="22" borderId="59" xfId="0" applyNumberFormat="1" applyFont="1" applyFill="1" applyBorder="1" applyAlignment="1">
      <x:alignment horizontal="center" vertical="top"/>
    </x:xf>
    <x:xf numFmtId="49" fontId="60" fillId="22" borderId="59" xfId="0" applyNumberFormat="1" applyFont="1" applyFill="1" applyBorder="1" applyAlignment="1">
      <x:alignment horizontal="center" vertical="top"/>
    </x:xf>
    <x:xf numFmtId="49" fontId="60" fillId="22" borderId="59" xfId="0" applyNumberFormat="1" applyFont="1" applyFill="1" applyBorder="1" applyAlignment="1">
      <x:alignment vertical="top" wrapText="1"/>
    </x:xf>
    <x:xf numFmtId="0" fontId="60" fillId="22" borderId="59" xfId="0" applyNumberFormat="1" applyFont="1" applyFill="1" applyBorder="1" applyAlignment="1">
      <x:alignment vertical="top" wrapText="1"/>
    </x:xf>
    <x:xf numFmtId="3" fontId="60" fillId="22" borderId="59" xfId="0" applyNumberFormat="1" applyFont="1" applyFill="1" applyBorder="1" applyAlignment="1">
      <x:alignment horizontal="right" vertical="top"/>
    </x:xf>
    <x:xf numFmtId="165" fontId="60" fillId="22" borderId="59" xfId="0" applyNumberFormat="1" applyFont="1" applyFill="1" applyBorder="1" applyAlignment="1">
      <x:alignment horizontal="right" vertical="top"/>
    </x:xf>
    <x:xf numFmtId="167" fontId="60" fillId="22" borderId="59" xfId="0" applyNumberFormat="1" applyFont="1" applyFill="1" applyBorder="1" applyAlignment="1">
      <x:alignment horizontal="right" vertical="top"/>
    </x:xf>
    <x:xf numFmtId="49" fontId="60" fillId="22" borderId="60" xfId="0" applyNumberFormat="1" applyFont="1" applyFill="1" applyBorder="1" applyAlignment="1">
      <x:alignment vertical="top" wrapText="1"/>
    </x:xf>
    <x:xf numFmtId="0" fontId="61" fillId="22" borderId="61" xfId="0" applyNumberFormat="1" applyFont="1" applyFill="1" applyBorder="1"/>
    <x:xf numFmtId="168" fontId="60" fillId="22" borderId="62" xfId="0" applyNumberFormat="1" applyFont="1" applyFill="1" applyBorder="1" applyAlignment="1">
      <x:alignment horizontal="center" vertical="top"/>
    </x:xf>
    <x:xf numFmtId="168" fontId="60" fillId="22" borderId="63" xfId="0" applyNumberFormat="1" applyFont="1" applyFill="1" applyBorder="1" applyAlignment="1">
      <x:alignment horizontal="center" vertical="top"/>
    </x:xf>
    <x:xf numFmtId="49" fontId="60" fillId="22" borderId="63" xfId="0" applyNumberFormat="1" applyFont="1" applyFill="1" applyBorder="1" applyAlignment="1">
      <x:alignment horizontal="center" vertical="top"/>
    </x:xf>
    <x:xf numFmtId="49" fontId="60" fillId="22" borderId="63" xfId="0" applyNumberFormat="1" applyFont="1" applyFill="1" applyBorder="1" applyAlignment="1">
      <x:alignment vertical="top" wrapText="1"/>
    </x:xf>
    <x:xf numFmtId="0" fontId="60" fillId="22" borderId="63" xfId="0" applyNumberFormat="1" applyFont="1" applyFill="1" applyBorder="1" applyAlignment="1">
      <x:alignment vertical="top" wrapText="1"/>
    </x:xf>
    <x:xf numFmtId="3" fontId="60" fillId="22" borderId="63" xfId="0" applyNumberFormat="1" applyFont="1" applyFill="1" applyBorder="1" applyAlignment="1">
      <x:alignment horizontal="right" vertical="top"/>
    </x:xf>
    <x:xf numFmtId="165" fontId="60" fillId="22" borderId="63" xfId="0" applyNumberFormat="1" applyFont="1" applyFill="1" applyBorder="1" applyAlignment="1">
      <x:alignment horizontal="right" vertical="top"/>
    </x:xf>
    <x:xf numFmtId="167" fontId="60" fillId="22" borderId="63" xfId="0" applyNumberFormat="1" applyFont="1" applyFill="1" applyBorder="1" applyAlignment="1">
      <x:alignment horizontal="right" vertical="top"/>
    </x:xf>
    <x:xf numFmtId="49" fontId="60" fillId="22" borderId="64" xfId="0" applyNumberFormat="1" applyFont="1" applyFill="1" applyBorder="1" applyAlignment="1">
      <x:alignment vertical="top" wrapText="1"/>
    </x:xf>
    <x:xf numFmtId="0" fontId="61" fillId="22" borderId="65" xfId="0" applyNumberFormat="1" applyFont="1" applyFill="1" applyBorder="1"/>
    <x:xf numFmtId="0" fontId="61" fillId="22" borderId="66" xfId="0" applyNumberFormat="1" applyFont="1" applyFill="1" applyBorder="1"/>
    <x:xf numFmtId="0" fontId="61" fillId="22" borderId="67" xfId="0" applyNumberFormat="1" applyFont="1" applyFill="1" applyBorder="1"/>
    <x:xf numFmtId="49" fontId="63" fillId="22" borderId="124" xfId="0" applyNumberFormat="1" applyFont="1" applyFill="1" applyBorder="1" applyAlignment="1">
      <x:alignment horizontal="left" vertical="center"/>
    </x:xf>
    <x:xf numFmtId="0" fontId="63" fillId="22" borderId="125" xfId="0" applyNumberFormat="1" applyFont="1" applyFill="1" applyBorder="1" applyAlignment="1">
      <x:alignment horizontal="left" vertical="center"/>
    </x:xf>
    <x:xf numFmtId="0" fontId="61" fillId="22" borderId="125" xfId="0" applyNumberFormat="1" applyFont="1" applyFill="1" applyBorder="1"/>
    <x:xf numFmtId="0" fontId="61" fillId="22" borderId="126" xfId="0" applyNumberFormat="1" applyFont="1" applyFill="1" applyBorder="1"/>
    <x:xf numFmtId="49" fontId="64" fillId="22" borderId="127" xfId="0" applyNumberFormat="1" applyFont="1" applyFill="1" applyBorder="1" applyAlignment="1">
      <x:alignment horizontal="left" vertical="center" wrapText="1"/>
    </x:xf>
    <x:xf numFmtId="0" fontId="64" fillId="22" borderId="76" xfId="0" applyNumberFormat="1" applyFont="1" applyFill="1" applyBorder="1" applyAlignment="1">
      <x:alignment horizontal="left" vertical="center" wrapText="1"/>
    </x:xf>
    <x:xf numFmtId="49" fontId="63" fillId="22" borderId="127" xfId="0" applyNumberFormat="1" applyFont="1" applyFill="1" applyBorder="1" applyAlignment="1">
      <x:alignment horizontal="center" vertical="center" wrapText="1"/>
    </x:xf>
    <x:xf numFmtId="168" fontId="60" fillId="22" borderId="127" xfId="0" applyNumberFormat="1" applyFont="1" applyFill="1" applyBorder="1" applyAlignment="1">
      <x:alignment horizontal="center" vertical="top"/>
    </x:xf>
    <x:xf numFmtId="168" fontId="60" fillId="22" borderId="76" xfId="0" applyNumberFormat="1" applyFont="1" applyFill="1" applyBorder="1" applyAlignment="1">
      <x:alignment horizontal="center" vertical="top"/>
    </x:xf>
    <x:xf numFmtId="49" fontId="60" fillId="22" borderId="76" xfId="0" applyNumberFormat="1" applyFont="1" applyFill="1" applyBorder="1" applyAlignment="1">
      <x:alignment horizontal="center" vertical="top"/>
    </x:xf>
    <x:xf numFmtId="49" fontId="60" fillId="22" borderId="76" xfId="0" applyNumberFormat="1" applyFont="1" applyFill="1" applyBorder="1" applyAlignment="1">
      <x:alignment vertical="top" wrapText="1"/>
    </x:xf>
    <x:xf numFmtId="3" fontId="60" fillId="22" borderId="76" xfId="0" applyNumberFormat="1" applyFont="1" applyFill="1" applyBorder="1" applyAlignment="1">
      <x:alignment horizontal="right" vertical="top"/>
    </x:xf>
    <x:xf numFmtId="165" fontId="60" fillId="22" borderId="76" xfId="0" applyNumberFormat="1" applyFont="1" applyFill="1" applyBorder="1" applyAlignment="1">
      <x:alignment horizontal="right" vertical="top"/>
    </x:xf>
    <x:xf numFmtId="167" fontId="60" fillId="22" borderId="76" xfId="0" applyNumberFormat="1" applyFont="1" applyFill="1" applyBorder="1" applyAlignment="1">
      <x:alignment horizontal="right" vertical="top"/>
    </x:xf>
    <x:xf numFmtId="0" fontId="61" fillId="22" borderId="127" xfId="0" applyNumberFormat="1" applyFont="1" applyFill="1" applyBorder="1"/>
    <x:xf numFmtId="0" fontId="61" fillId="22" borderId="128" xfId="0" applyNumberFormat="1" applyFont="1" applyFill="1" applyBorder="1"/>
    <x:xf numFmtId="49" fontId="63" fillId="22" borderId="124" xfId="0" applyNumberFormat="1" applyFont="1" applyFill="1" applyBorder="1" applyAlignment="1">
      <x:alignment horizontal="left" vertical="center" wrapText="0"/>
    </x:xf>
    <x:xf numFmtId="0" fontId="63" fillId="22" borderId="125" xfId="0" applyNumberFormat="1" applyFont="1" applyFill="1" applyBorder="1" applyAlignment="1">
      <x:alignment horizontal="left" vertical="center" wrapText="0"/>
    </x:xf>
    <x:xf numFmtId="0" fontId="61" fillId="22" borderId="125" xfId="0" applyNumberFormat="1" applyFont="1" applyFill="1" applyBorder="1" applyAlignment="1">
      <x:alignment wrapText="0"/>
    </x:xf>
    <x:xf numFmtId="0" fontId="61" fillId="22" borderId="126" xfId="0" applyNumberFormat="1" applyFont="1" applyFill="1" applyBorder="1" applyAlignment="1">
      <x:alignment wrapText="0"/>
    </x:xf>
    <x:xf numFmtId="49" fontId="64" fillId="22" borderId="127" xfId="0" applyNumberFormat="1" applyFont="1" applyFill="1" applyBorder="1" applyAlignment="1">
      <x:alignment horizontal="left" vertical="center" wrapText="0"/>
    </x:xf>
    <x:xf numFmtId="0" fontId="64" fillId="22" borderId="76" xfId="0" applyNumberFormat="1" applyFont="1" applyFill="1" applyBorder="1" applyAlignment="1">
      <x:alignment horizontal="left" vertical="center" wrapText="0"/>
    </x:xf>
    <x:xf numFmtId="49" fontId="63" fillId="22" borderId="127" xfId="0" applyNumberFormat="1" applyFont="1" applyFill="1" applyBorder="1" applyAlignment="1">
      <x:alignment horizontal="center" vertical="center" wrapText="0"/>
    </x:xf>
    <x:xf numFmtId="168" fontId="60" fillId="22" borderId="127" xfId="0" applyNumberFormat="1" applyFont="1" applyFill="1" applyBorder="1" applyAlignment="1">
      <x:alignment horizontal="center" vertical="top" wrapText="0"/>
    </x:xf>
    <x:xf numFmtId="168" fontId="60" fillId="22" borderId="76" xfId="0" applyNumberFormat="1" applyFont="1" applyFill="1" applyBorder="1" applyAlignment="1">
      <x:alignment horizontal="center" vertical="top" wrapText="0"/>
    </x:xf>
    <x:xf numFmtId="3" fontId="60" fillId="22" borderId="76" xfId="0" applyNumberFormat="1" applyFont="1" applyFill="1" applyBorder="1" applyAlignment="1">
      <x:alignment horizontal="right" vertical="top" wrapText="0"/>
    </x:xf>
    <x:xf numFmtId="165" fontId="60" fillId="22" borderId="76" xfId="0" applyNumberFormat="1" applyFont="1" applyFill="1" applyBorder="1" applyAlignment="1">
      <x:alignment horizontal="right" vertical="top" wrapText="0"/>
    </x:xf>
    <x:xf numFmtId="167" fontId="60" fillId="22" borderId="76" xfId="0" applyNumberFormat="1" applyFont="1" applyFill="1" applyBorder="1" applyAlignment="1">
      <x:alignment horizontal="right" vertical="top" wrapText="0"/>
    </x:xf>
    <x:xf numFmtId="0" fontId="61" fillId="22" borderId="127" xfId="0" applyNumberFormat="1" applyFont="1" applyFill="1" applyBorder="1" applyAlignment="1">
      <x:alignment wrapText="0"/>
    </x:xf>
    <x:xf numFmtId="0" fontId="61" fillId="22" borderId="128" xfId="0" applyNumberFormat="1" applyFont="1" applyFill="1" applyBorder="1" applyAlignment="1">
      <x:alignment wrapText="0"/>
    </x:xf>
    <x:xf numFmtId="49" fontId="63" fillId="22" borderId="124" xfId="0" applyNumberFormat="1" applyFont="1" applyFill="1" applyBorder="1" applyAlignment="1">
      <x:alignment horizontal="left" vertical="top" wrapText="0"/>
    </x:xf>
    <x:xf numFmtId="0" fontId="63" fillId="22" borderId="125" xfId="0" applyNumberFormat="1" applyFont="1" applyFill="1" applyBorder="1" applyAlignment="1">
      <x:alignment horizontal="left" vertical="top" wrapText="0"/>
    </x:xf>
    <x:xf numFmtId="0" fontId="61" fillId="22" borderId="125" xfId="0" applyNumberFormat="1" applyFont="1" applyFill="1" applyBorder="1" applyAlignment="1">
      <x:alignment vertical="top" wrapText="0"/>
    </x:xf>
    <x:xf numFmtId="0" fontId="61" fillId="22" borderId="126" xfId="0" applyNumberFormat="1" applyFont="1" applyFill="1" applyBorder="1" applyAlignment="1">
      <x:alignment vertical="top" wrapText="0"/>
    </x:xf>
    <x:xf numFmtId="49" fontId="64" fillId="22" borderId="127" xfId="0" applyNumberFormat="1" applyFont="1" applyFill="1" applyBorder="1" applyAlignment="1">
      <x:alignment horizontal="left" vertical="top" wrapText="0"/>
    </x:xf>
    <x:xf numFmtId="0" fontId="64" fillId="22" borderId="76" xfId="0" applyNumberFormat="1" applyFont="1" applyFill="1" applyBorder="1" applyAlignment="1">
      <x:alignment horizontal="left" vertical="top" wrapText="0"/>
    </x:xf>
    <x:xf numFmtId="49" fontId="63" fillId="22" borderId="127" xfId="0" applyNumberFormat="1" applyFont="1" applyFill="1" applyBorder="1" applyAlignment="1">
      <x:alignment horizontal="center" vertical="top" wrapText="0"/>
    </x:xf>
    <x:xf numFmtId="0" fontId="61" fillId="22" borderId="127" xfId="0" applyNumberFormat="1" applyFont="1" applyFill="1" applyBorder="1" applyAlignment="1">
      <x:alignment vertical="top" wrapText="0"/>
    </x:xf>
    <x:xf numFmtId="0" fontId="61" fillId="22" borderId="128" xfId="0" applyNumberFormat="1" applyFont="1" applyFill="1" applyBorder="1" applyAlignment="1">
      <x:alignment vertical="top" wrapText="0"/>
    </x:xf>
    <x:xf numFmtId="200" fontId="63" fillId="22" borderId="124" xfId="0" applyNumberFormat="1" applyFont="1" applyFill="1" applyBorder="1" applyAlignment="1">
      <x:alignment horizontal="left" vertical="top" wrapText="0"/>
    </x:xf>
    <x:xf numFmtId="200" fontId="63" fillId="22" borderId="125" xfId="0" applyNumberFormat="1" applyFont="1" applyFill="1" applyBorder="1" applyAlignment="1">
      <x:alignment horizontal="left" vertical="top" wrapText="0"/>
    </x:xf>
    <x:xf numFmtId="201" fontId="63" fillId="22" borderId="125" xfId="0" applyNumberFormat="1" applyFont="1" applyFill="1" applyBorder="1" applyAlignment="1">
      <x:alignment horizontal="left" vertical="top" wrapText="0"/>
    </x:xf>
    <x:xf numFmtId="167" fontId="63" fillId="22" borderId="125" xfId="0" applyNumberFormat="1" applyFont="1" applyFill="1" applyBorder="1" applyAlignment="1">
      <x:alignment horizontal="left" vertical="top" wrapText="0"/>
    </x:xf>
    <x:xf numFmtId="165" fontId="63" fillId="22" borderId="125" xfId="0" applyNumberFormat="1" applyFont="1" applyFill="1" applyBorder="1" applyAlignment="1">
      <x:alignment horizontal="left" vertical="top" wrapText="0"/>
    </x:xf>
    <x:xf numFmtId="0" fontId="31" fillId="22" borderId="0" xfId="0" applyNumberFormat="1" applyFont="1" applyFill="1" applyBorder="1" applyAlignment="1">
      <x:alignment vertical="center"/>
    </x:xf>
    <x:xf numFmtId="0" fontId="35" fillId="22" borderId="0" xfId="0" applyNumberFormat="1" applyFont="1" applyFill="1" applyBorder="1"/>
    <x:xf numFmtId="0" fontId="32" fillId="22" borderId="0" xfId="0" applyNumberFormat="1" applyFont="1" applyFill="1" applyBorder="1"/>
    <x:xf numFmtId="0" fontId="33" fillId="22" borderId="68" xfId="0" applyNumberFormat="1" applyFont="1" applyFill="1" applyBorder="1" applyAlignment="1">
      <x:alignment vertical="center" wrapText="1"/>
    </x:xf>
    <x:xf numFmtId="0" fontId="32" fillId="22" borderId="68" xfId="0" applyNumberFormat="1" applyFont="1" applyFill="1" applyBorder="1"/>
    <x:xf numFmtId="0" fontId="34" fillId="22" borderId="68" xfId="0" applyNumberFormat="1" applyFont="1" applyFill="1" applyBorder="1" applyAlignment="1">
      <x:alignment vertical="top" wrapText="1"/>
    </x:xf>
    <x:xf numFmtId="0" fontId="47" fillId="22" borderId="0" xfId="0" applyNumberFormat="1" applyFont="1" applyFill="1" applyBorder="1" applyAlignment="1">
      <x:alignment vertical="center"/>
    </x:xf>
    <x:xf numFmtId="0" fontId="47" fillId="22" borderId="68" xfId="0" applyNumberFormat="1" applyFont="1" applyFill="1" applyBorder="1" applyAlignment="1">
      <x:alignment vertical="center" wrapText="1"/>
    </x:xf>
    <x:xf numFmtId="0" fontId="47" fillId="22" borderId="0" xfId="0" applyNumberFormat="1" applyFont="1" applyFill="1" applyBorder="1" applyAlignment="1">
      <x:alignment vertical="center" wrapText="1"/>
    </x:xf>
    <x:xf numFmtId="0" fontId="47" fillId="22" borderId="93" xfId="0" applyNumberFormat="1" applyFont="1" applyFill="1" applyBorder="1" applyAlignment="1">
      <x:alignment vertical="top" wrapText="1"/>
    </x:xf>
    <x:xf numFmtId="0" fontId="47" fillId="22" borderId="129" xfId="0" applyNumberFormat="1" applyFont="1" applyFill="1" applyBorder="1" applyAlignment="1">
      <x:alignment vertical="top" wrapText="1"/>
    </x:xf>
    <x:xf numFmtId="0" fontId="47" fillId="22" borderId="95" xfId="0" applyNumberFormat="1" applyFont="1" applyFill="1" applyBorder="1" applyAlignment="1">
      <x:alignment vertical="top" wrapText="1"/>
    </x:xf>
    <x:xf numFmtId="49" fontId="47" fillId="22" borderId="76" xfId="0" applyNumberFormat="1" applyFont="1" applyFill="1" applyBorder="1" applyAlignment="1">
      <x:alignment horizontal="center" vertical="center" wrapText="1"/>
    </x:xf>
    <x:xf numFmtId="0" fontId="48" fillId="22" borderId="84" xfId="0" applyNumberFormat="1" applyFont="1" applyFill="1" applyBorder="1" applyAlignment="1">
      <x:alignment horizontal="center" vertical="top" wrapText="1"/>
    </x:xf>
    <x:xf numFmtId="0" fontId="48" fillId="22" borderId="91" xfId="0" applyNumberFormat="1" applyFont="1" applyFill="1" applyBorder="1" applyAlignment="1">
      <x:alignment horizontal="center" vertical="top" wrapText="1"/>
    </x:xf>
    <x:xf numFmtId="0" fontId="48" fillId="22" borderId="79" xfId="0" applyNumberFormat="1" applyFont="1" applyFill="1" applyBorder="1" applyAlignment="1">
      <x:alignment horizontal="center" vertical="top" wrapText="1"/>
    </x:xf>
    <x:xf numFmtId="49" fontId="48" fillId="22" borderId="84" xfId="0" applyNumberFormat="1" applyFont="1" applyFill="1" applyBorder="1" applyAlignment="1">
      <x:alignment horizontal="center" vertical="center" wrapText="1"/>
    </x:xf>
    <x:xf numFmtId="49" fontId="48" fillId="22" borderId="76" xfId="0" applyNumberFormat="1" applyFont="1" applyFill="1" applyBorder="1" applyAlignment="1">
      <x:alignment horizontal="center" vertical="center" wrapText="1"/>
    </x:xf>
    <x:xf numFmtId="0" fontId="48" fillId="22" borderId="84" xfId="0" applyNumberFormat="1" applyFont="1" applyFill="1" applyBorder="1" applyAlignment="1">
      <x:alignment horizontal="center" vertical="center" wrapText="1"/>
    </x:xf>
    <x:xf numFmtId="0" fontId="48" fillId="22" borderId="76" xfId="0" applyNumberFormat="1" applyFont="1" applyFill="1" applyBorder="1" applyAlignment="1">
      <x:alignment horizontal="center" vertical="center" wrapText="1"/>
    </x:xf>
    <x:xf numFmtId="0" fontId="48" fillId="22" borderId="91" xfId="0" applyNumberFormat="1" applyFont="1" applyFill="1" applyBorder="1" applyAlignment="1">
      <x:alignment horizontal="center" vertical="center" wrapText="1"/>
    </x:xf>
    <x:xf numFmtId="0" fontId="48" fillId="22" borderId="79" xfId="0" applyNumberFormat="1" applyFont="1" applyFill="1" applyBorder="1" applyAlignment="1">
      <x:alignment horizontal="center" vertical="center" wrapText="1"/>
    </x:xf>
    <x:xf numFmtId="200" fontId="48" fillId="22" borderId="79" xfId="0" applyNumberFormat="1" applyFont="1" applyFill="1" applyBorder="1" applyAlignment="1">
      <x:alignment horizontal="center" vertical="top" wrapText="1"/>
    </x:xf>
    <x:xf numFmtId="200" fontId="48" fillId="22" borderId="76" xfId="0" applyNumberFormat="1" applyFont="1" applyFill="1" applyBorder="1" applyAlignment="1">
      <x:alignment horizontal="center" vertical="center" wrapText="1"/>
    </x:xf>
    <x:xf numFmtId="200" fontId="48" fillId="22" borderId="79" xfId="0" applyNumberFormat="1" applyFont="1" applyFill="1" applyBorder="1" applyAlignment="1">
      <x:alignment horizontal="center" vertical="center" wrapText="1"/>
    </x:xf>
    <x:xf numFmtId="0" fontId="48" fillId="22" borderId="76" xfId="0" applyNumberFormat="1" applyFont="1" applyFill="1" applyBorder="1" applyAlignment="1">
      <x:alignment horizontal="left" vertical="top" wrapText="1"/>
    </x:xf>
    <x:xf numFmtId="0" fontId="48" fillId="22" borderId="79" xfId="0" applyNumberFormat="1" applyFont="1" applyFill="1" applyBorder="1" applyAlignment="1">
      <x:alignment horizontal="left" vertical="top" wrapText="1"/>
    </x:xf>
    <x:xf numFmtId="49" fontId="48" fillId="22" borderId="76" xfId="0" applyNumberFormat="1" applyFont="1" applyFill="1" applyBorder="1" applyAlignment="1">
      <x:alignment horizontal="left" vertical="center" wrapText="1"/>
    </x:xf>
    <x:xf numFmtId="0" fontId="48" fillId="22" borderId="76" xfId="0" applyNumberFormat="1" applyFont="1" applyFill="1" applyBorder="1" applyAlignment="1">
      <x:alignment horizontal="left" vertical="center" wrapText="1"/>
    </x:xf>
    <x:xf numFmtId="0" fontId="48" fillId="22" borderId="79" xfId="0" applyNumberFormat="1" applyFont="1" applyFill="1" applyBorder="1" applyAlignment="1">
      <x:alignment horizontal="left" vertical="center" wrapText="1"/>
    </x:xf>
    <x:xf numFmtId="168" fontId="48" fillId="22" borderId="76" xfId="0" applyNumberFormat="1" applyFont="1" applyFill="1" applyBorder="1" applyAlignment="1">
      <x:alignment horizontal="center" vertical="center" wrapText="1"/>
    </x:xf>
    <x:xf numFmtId="168" fontId="48" fillId="22" borderId="79" xfId="0" applyNumberFormat="1" applyFont="1" applyFill="1" applyBorder="1" applyAlignment="1">
      <x:alignment horizontal="center" vertical="center" wrapText="1"/>
    </x:xf>
    <x:xf numFmtId="0" fontId="48" fillId="22" borderId="91" xfId="0" applyNumberFormat="1" applyFont="1" applyFill="1" applyBorder="1" applyAlignment="1">
      <x:alignment vertical="center" wrapText="1"/>
    </x:xf>
    <x:xf numFmtId="0" fontId="48" fillId="22" borderId="79" xfId="0" applyNumberFormat="1" applyFont="1" applyFill="1" applyBorder="1" applyAlignment="1">
      <x:alignment vertical="center" wrapText="1"/>
    </x:xf>
    <x:xf numFmtId="200" fontId="63" fillId="22" borderId="118" xfId="0" applyNumberFormat="1" applyFont="1" applyFill="1" applyBorder="1" applyAlignment="1">
      <x:alignment horizontal="center" vertical="top" wrapText="1"/>
    </x:xf>
    <x:xf numFmtId="49" fontId="63" fillId="22" borderId="118" xfId="0" applyNumberFormat="1" applyFont="1" applyFill="1" applyBorder="1" applyAlignment="1">
      <x:alignment horizontal="center" vertical="top" wrapText="1"/>
    </x:xf>
    <x:xf numFmtId="201" fontId="63" fillId="22" borderId="118" xfId="0" applyNumberFormat="1" applyFont="1" applyFill="1" applyBorder="1" applyAlignment="1">
      <x:alignment horizontal="center" vertical="top" wrapText="1"/>
    </x:xf>
    <x:xf numFmtId="200" fontId="63" fillId="22" borderId="118" xfId="0" applyNumberFormat="1" applyFont="1" applyFill="1" applyBorder="1" applyAlignment="1">
      <x:alignment horizontal="center" vertical="center" wrapText="1"/>
    </x:xf>
    <x:xf numFmtId="201" fontId="63" fillId="22" borderId="118" xfId="0" applyNumberFormat="1" applyFont="1" applyFill="1" applyBorder="1" applyAlignment="1">
      <x:alignment horizontal="center" vertical="center" wrapText="1"/>
    </x:xf>
    <x:xf numFmtId="167" fontId="63" fillId="22" borderId="118" xfId="0" applyNumberFormat="1" applyFont="1" applyFill="1" applyBorder="1" applyAlignment="1">
      <x:alignment horizontal="center" vertical="top" wrapText="1"/>
    </x:xf>
    <x:xf numFmtId="167" fontId="63" fillId="22" borderId="118" xfId="0" applyNumberFormat="1" applyFont="1" applyFill="1" applyBorder="1" applyAlignment="1">
      <x:alignment horizontal="center" vertical="center" wrapText="1"/>
    </x:xf>
    <x:xf numFmtId="49" fontId="63" fillId="22" borderId="76" xfId="0" applyNumberFormat="1" applyFont="1" applyFill="1" applyBorder="1" applyAlignment="1">
      <x:alignment horizontal="center" vertical="top" wrapText="1"/>
    </x:xf>
    <x:xf numFmtId="49" fontId="66" fillId="24" borderId="109" xfId="0" applyNumberFormat="1" applyFont="1" applyFill="1" applyBorder="1" applyAlignment="1">
      <x:alignment vertical="center" wrapText="1"/>
    </x:xf>
    <x:xf numFmtId="49" fontId="66" fillId="24" borderId="110" xfId="0" applyNumberFormat="1" applyFont="1" applyFill="1" applyBorder="1" applyAlignment="1">
      <x:alignment horizontal="center" vertical="center" wrapText="1"/>
    </x:xf>
    <x:xf numFmtId="49" fontId="67" fillId="24" borderId="111" xfId="0" applyNumberFormat="1" applyFont="1" applyFill="1" applyBorder="1" applyAlignment="1">
      <x:alignment horizontal="center" vertical="center" wrapText="1"/>
    </x:xf>
    <x:xf numFmtId="49" fontId="66" fillId="24" borderId="109" xfId="0" applyNumberFormat="1" applyFont="1" applyFill="1" applyBorder="1" applyAlignment="1">
      <x:alignment horizontal="center" vertical="center" wrapText="1"/>
    </x:xf>
    <x:xf numFmtId="49" fontId="73" fillId="24" borderId="81" xfId="0" applyNumberFormat="1" applyFont="1" applyFill="1" applyBorder="1" applyAlignment="1">
      <x:alignment horizontal="left" vertical="center" wrapText="1"/>
    </x:xf>
    <x:xf numFmtId="0" fontId="73" fillId="24" borderId="82" xfId="0" applyNumberFormat="1" applyFont="1" applyFill="1" applyBorder="1" applyAlignment="1">
      <x:alignment horizontal="center" vertical="center" wrapText="1"/>
    </x:xf>
    <x:xf numFmtId="0" fontId="73" fillId="24" borderId="82" xfId="0" applyNumberFormat="1" applyFont="1" applyFill="1" applyBorder="1" applyAlignment="1">
      <x:alignment vertical="center" wrapText="1"/>
    </x:xf>
    <x:xf numFmtId="49" fontId="73" fillId="24" borderId="82" xfId="0" applyNumberFormat="1" applyFont="1" applyFill="1" applyBorder="1" applyAlignment="1">
      <x:alignment vertical="center" wrapText="1"/>
    </x:xf>
    <x:xf numFmtId="0" fontId="66" fillId="24" borderId="82" xfId="0" applyNumberFormat="1" applyFont="1" applyFill="1" applyBorder="1" applyAlignment="1">
      <x:alignment vertical="center" wrapText="1"/>
    </x:xf>
    <x:xf numFmtId="0" fontId="66" fillId="24" borderId="89" xfId="0" applyNumberFormat="1" applyFont="1" applyFill="1" applyBorder="1" applyAlignment="1">
      <x:alignment vertical="center" wrapText="1"/>
    </x:xf>
    <x:xf numFmtId="49" fontId="73" fillId="24" borderId="81" xfId="0" applyNumberFormat="1" applyFont="1" applyFill="1" applyBorder="1" applyAlignment="1">
      <x:alignment horizontal="center" vertical="center" wrapText="1"/>
    </x:xf>
    <x:xf numFmtId="49" fontId="73" fillId="24" borderId="82" xfId="0" applyNumberFormat="1" applyFont="1" applyFill="1" applyBorder="1" applyAlignment="1">
      <x:alignment horizontal="center" vertical="center" wrapText="1"/>
    </x:xf>
    <x:xf numFmtId="0" fontId="66" fillId="24" borderId="82" xfId="0" applyNumberFormat="1" applyFont="1" applyFill="1" applyBorder="1" applyAlignment="1">
      <x:alignment horizontal="center" vertical="center" wrapText="1"/>
    </x:xf>
    <x:xf numFmtId="0" fontId="66" fillId="24" borderId="89" xfId="0" applyNumberFormat="1" applyFont="1" applyFill="1" applyBorder="1" applyAlignment="1">
      <x:alignment horizontal="center" vertical="center" wrapText="1"/>
    </x:xf>
    <x:xf numFmtId="0" fontId="61" fillId="22" borderId="121" xfId="0" applyNumberFormat="1" applyFont="1" applyFill="1" applyBorder="1" applyAlignment="1">
      <x:alignment horizontal="center" vertical="top" wrapText="0"/>
    </x:xf>
    <x:xf numFmtId="0" fontId="61" fillId="22" borderId="122" xfId="0" applyNumberFormat="1" applyFont="1" applyFill="1" applyBorder="1" applyAlignment="1">
      <x:alignment horizontal="center" vertical="top" wrapText="0"/>
    </x:xf>
    <x:xf numFmtId="0" fontId="61" fillId="22" borderId="121" xfId="0" applyNumberFormat="1" applyFont="1" applyFill="1" applyBorder="1" applyAlignment="1">
      <x:alignment horizontal="center" vertical="center" wrapText="0"/>
    </x:xf>
    <x:xf numFmtId="0" fontId="61" fillId="22" borderId="122" xfId="0" applyNumberFormat="1" applyFont="1" applyFill="1" applyBorder="1" applyAlignment="1">
      <x:alignment horizontal="center" vertical="center" wrapText="0"/>
    </x:xf>
    <x:xf numFmtId="0" fontId="61" fillId="22" borderId="122" xfId="0" applyNumberFormat="1" applyFont="1" applyFill="1" applyBorder="1" applyAlignment="1">
      <x:alignment vertical="center" wrapText="0"/>
    </x:xf>
    <x:xf numFmtId="0" fontId="61" fillId="22" borderId="122" xfId="0" applyNumberFormat="1" applyFont="1" applyFill="1" applyBorder="1" applyAlignment="1">
      <x:alignment vertical="center" wrapText="1"/>
    </x:xf>
    <x:xf numFmtId="168" fontId="60" fillId="22" borderId="120" xfId="0" applyNumberFormat="1" applyFont="1" applyFill="1" applyBorder="1" applyAlignment="1">
      <x:alignment horizontal="center" vertical="center" wrapText="0"/>
    </x:xf>
    <x:xf numFmtId="168" fontId="60" fillId="22" borderId="76" xfId="0" applyNumberFormat="1" applyFont="1" applyFill="1" applyBorder="1" applyAlignment="1">
      <x:alignment horizontal="center" vertical="center" wrapText="0"/>
    </x:xf>
    <x:xf numFmtId="168" fontId="61" fillId="22" borderId="121" xfId="0" applyNumberFormat="1" applyFont="1" applyFill="1" applyBorder="1" applyAlignment="1">
      <x:alignment horizontal="center" vertical="center" wrapText="0"/>
    </x:xf>
    <x:xf numFmtId="168" fontId="61" fillId="22" borderId="122" xfId="0" applyNumberFormat="1" applyFont="1" applyFill="1" applyBorder="1" applyAlignment="1">
      <x:alignment horizontal="center" vertical="center" wrapText="0"/>
    </x:xf>
    <x:xf numFmtId="167" fontId="61" fillId="22" borderId="122" xfId="0" applyNumberFormat="1" applyFont="1" applyFill="1" applyBorder="1" applyAlignment="1">
      <x:alignment horizontal="center" vertical="center" wrapText="0"/>
    </x:xf>
    <x:xf numFmtId="168" fontId="60" fillId="22" borderId="127" xfId="0" applyNumberFormat="1" applyFont="1" applyFill="1" applyBorder="1" applyAlignment="1">
      <x:alignment horizontal="center" vertical="center" wrapText="0"/>
    </x:xf>
    <x:xf numFmtId="0" fontId="61" fillId="22" borderId="127" xfId="0" applyNumberFormat="1" applyFont="1" applyFill="1" applyBorder="1" applyAlignment="1">
      <x:alignment vertical="center" wrapText="0"/>
    </x:xf>
    <x:xf numFmtId="0" fontId="61" fillId="22" borderId="76" xfId="0" applyNumberFormat="1" applyFont="1" applyFill="1" applyBorder="1" applyAlignment="1">
      <x:alignment vertical="center" wrapText="0"/>
    </x:xf>
    <x:xf numFmtId="0" fontId="61" fillId="22" borderId="128" xfId="0" applyNumberFormat="1" applyFont="1" applyFill="1" applyBorder="1" applyAlignment="1">
      <x:alignment vertical="center" wrapText="0"/>
    </x:xf>
    <x:xf numFmtId="0" fontId="61" fillId="22" borderId="79" xfId="0" applyNumberFormat="1" applyFont="1" applyFill="1" applyBorder="1" applyAlignment="1">
      <x:alignment vertical="center" wrapText="0"/>
    </x:xf>
    <x:xf numFmtId="3" fontId="60" fillId="22" borderId="76" xfId="0" applyNumberFormat="1" applyFont="1" applyFill="1" applyBorder="1" applyAlignment="1">
      <x:alignment horizontal="right" vertical="center" wrapText="0"/>
    </x:xf>
    <x:xf numFmtId="165" fontId="60" fillId="22" borderId="76" xfId="0" applyNumberFormat="1" applyFont="1" applyFill="1" applyBorder="1" applyAlignment="1">
      <x:alignment horizontal="right" vertical="center" wrapText="0"/>
    </x:xf>
    <x:xf numFmtId="167" fontId="60" fillId="22" borderId="76" xfId="0" applyNumberFormat="1" applyFont="1" applyFill="1" applyBorder="1" applyAlignment="1">
      <x:alignment horizontal="right" vertical="center" wrapText="0"/>
    </x:xf>
    <x:xf numFmtId="0" fontId="61" fillId="22" borderId="127" xfId="0" applyNumberFormat="1" applyFont="1" applyFill="1" applyBorder="1" applyAlignment="1">
      <x:alignment horizontal="center" vertical="center" wrapText="0"/>
    </x:xf>
    <x:xf numFmtId="0" fontId="61" fillId="22" borderId="128" xfId="0" applyNumberFormat="1" applyFont="1" applyFill="1" applyBorder="1" applyAlignment="1">
      <x:alignment horizontal="center" vertical="center" wrapText="0"/>
    </x:xf>
    <x:xf numFmtId="0" fontId="61" fillId="22" borderId="79" xfId="0" applyNumberFormat="1" applyFont="1" applyFill="1" applyBorder="1" applyAlignment="1">
      <x:alignment horizontal="center" vertical="center" wrapText="0"/>
    </x:xf>
    <x:xf numFmtId="0" fontId="60" fillId="22" borderId="76" xfId="0" applyNumberFormat="1" applyFont="1" applyFill="1" applyBorder="1" applyAlignment="1">
      <x:alignment horizontal="left" vertical="top" wrapText="0"/>
    </x:xf>
    <x:xf numFmtId="0" fontId="61" fillId="22" borderId="76" xfId="0" applyNumberFormat="1" applyFont="1" applyFill="1" applyBorder="1" applyAlignment="1">
      <x:alignment horizontal="left" vertical="top" wrapText="0"/>
    </x:xf>
    <x:xf numFmtId="0" fontId="61" fillId="22" borderId="79" xfId="0" applyNumberFormat="1" applyFont="1" applyFill="1" applyBorder="1" applyAlignment="1">
      <x:alignment horizontal="left" vertical="top" wrapText="0"/>
    </x:xf>
    <x:xf numFmtId="0" fontId="60" fillId="22" borderId="76" xfId="0" applyNumberFormat="1" applyFont="1" applyFill="1" applyBorder="1" applyAlignment="1">
      <x:alignment horizontal="left" vertical="center" wrapText="0"/>
    </x:xf>
    <x:xf numFmtId="0" fontId="61" fillId="22" borderId="76" xfId="0" applyNumberFormat="1" applyFont="1" applyFill="1" applyBorder="1" applyAlignment="1">
      <x:alignment horizontal="left" vertical="center" wrapText="0"/>
    </x:xf>
    <x:xf numFmtId="0" fontId="61" fillId="22" borderId="79" xfId="0" applyNumberFormat="1" applyFont="1" applyFill="1" applyBorder="1" applyAlignment="1">
      <x:alignment horizontal="left" vertical="center" wrapText="0"/>
    </x:xf>
    <x:xf numFmtId="0" fontId="60" fillId="22" borderId="76" xfId="0" applyNumberFormat="1" applyFont="1" applyFill="1" applyBorder="1" applyAlignment="1">
      <x:alignment horizontal="left" vertical="center" wrapText="1"/>
    </x:xf>
    <x:xf numFmtId="0" fontId="61" fillId="22" borderId="76" xfId="0" applyNumberFormat="1" applyFont="1" applyFill="1" applyBorder="1" applyAlignment="1">
      <x:alignment horizontal="left" vertical="center" wrapText="1"/>
    </x:xf>
    <x:xf numFmtId="0" fontId="61" fillId="22" borderId="79" xfId="0" applyNumberFormat="1" applyFont="1" applyFill="1" applyBorder="1" applyAlignment="1">
      <x:alignment horizontal="left" vertical="center" wrapText="1"/>
    </x:xf>
    <x:xf numFmtId="168" fontId="61" fillId="22" borderId="127" xfId="0" applyNumberFormat="1" applyFont="1" applyFill="1" applyBorder="1" applyAlignment="1">
      <x:alignment horizontal="center" vertical="center" wrapText="0"/>
    </x:xf>
    <x:xf numFmtId="168" fontId="61" fillId="22" borderId="76" xfId="0" applyNumberFormat="1" applyFont="1" applyFill="1" applyBorder="1" applyAlignment="1">
      <x:alignment horizontal="center" vertical="center" wrapText="0"/>
    </x:xf>
    <x:xf numFmtId="168" fontId="61" fillId="22" borderId="128" xfId="0" applyNumberFormat="1" applyFont="1" applyFill="1" applyBorder="1" applyAlignment="1">
      <x:alignment horizontal="center" vertical="center" wrapText="0"/>
    </x:xf>
    <x:xf numFmtId="168" fontId="61" fillId="22" borderId="79" xfId="0" applyNumberFormat="1" applyFont="1" applyFill="1" applyBorder="1" applyAlignment="1">
      <x:alignment horizontal="center" vertical="center" wrapText="0"/>
    </x:xf>
    <x:xf numFmtId="167" fontId="61" fillId="22" borderId="79" xfId="0" applyNumberFormat="1" applyFont="1" applyFill="1" applyBorder="1" applyAlignment="1">
      <x:alignment horizontal="center" vertical="center" wrapText="0"/>
    </x:xf>
  </x:cellXfs>
  <x:cellStyles count="1">
    <x:cellStyle name="Normal" xfId="0"/>
  </x:cellStyles>
  <x:dxfs count="3">
    <x:dxf>
      <x:font>
        <x:b/>
        <x:color rgb="FFC00000"/>
      </x:font>
      <x:fill>
        <x:patternFill>
          <x:bgColor indexed="17"/>
        </x:patternFill>
      </x:fill>
    </x:dxf>
    <x:dxf>
      <x:font>
        <x:b/>
        <x:color rgb="FF375623"/>
      </x:font>
      <x:fill>
        <x:patternFill>
          <x:bgColor indexed="17"/>
        </x:patternFill>
      </x:fill>
    </x:dxf>
    <x:dxf>
      <x:font>
        <x:b/>
        <x:color rgb="FF9C5700"/>
      </x:font>
      <x:fill>
        <x:patternFill>
          <x:bgColor indexed="17"/>
        </x:patternFill>
      </x:fill>
    </x:dxf>
  </x:dxfs>
  <x:colors>
    <x:indexedColors>
      <x:rgbColor rgb="FF000000"/>
      <x:rgbColor rgb="FFFFFFFF"/>
      <x:rgbColor rgb="FFFF0000"/>
      <x:rgbColor rgb="FF00FF00"/>
      <x:rgbColor rgb="FF0000FF"/>
      <x:rgbColor rgb="FFFFFF00"/>
      <x:rgbColor rgb="FFFF00FF"/>
      <x:rgbColor rgb="FF00FFFF"/>
      <x:rgbColor rgb="FF000000"/>
      <x:rgbColor rgb="FFAAAAAA"/>
      <x:rgbColor rgb="FFFFFFFF"/>
      <x:rgbColor rgb="FF4472C4"/>
      <x:rgbColor rgb="FF1F4E78"/>
      <x:rgbColor rgb="FFD9EAF7"/>
      <x:rgbColor rgb="FF8EAADB"/>
      <x:rgbColor rgb="FF1F1F1F"/>
      <x:rgbColor rgb="FFD9E2F3"/>
      <x:rgbColor rgb="00000000"/>
      <x:rgbColor rgb="FFFCE4D6"/>
      <x:rgbColor rgb="FF9C5700"/>
      <x:rgbColor rgb="FF17365D"/>
      <x:rgbColor rgb="FF404040"/>
      <x:rgbColor rgb="FFA6A6A6"/>
      <x:rgbColor rgb="FFD9D9D9"/>
      <x:rgbColor rgb="FFD9E2F3"/>
      <x:rgbColor rgb="FF0F6B78"/>
      <x:rgbColor rgb="FFE2F0D9"/>
      <x:rgbColor rgb="FF375623"/>
      <x:rgbColor rgb="FFF4CCCC"/>
      <x:rgbColor rgb="FFC00000"/>
      <x:rgbColor rgb="FFB4C6E7"/>
      <x:rgbColor rgb="FFD0CECE"/>
      <x:rgbColor rgb="FFDAF2D0"/>
      <x:rgbColor rgb="FFADACAC"/>
      <x:rgbColor rgb="FFCFCFCF"/>
      <x:rgbColor rgb="FFE2EEDA"/>
      <x:rgbColor rgb="FF5B9BD5"/>
      <x:rgbColor rgb="FF00B050"/>
      <x:rgbColor rgb="FFFF0000"/>
      <x:rgbColor rgb="FFDDEBF7"/>
      <x:rgbColor rgb="FFE2EFD9"/>
      <x:rgbColor rgb="FFB4C6E7"/>
      <x:rgbColor rgb="FFE7E6E6"/>
      <x:rgbColor rgb="FFFFF2CC"/>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d2d61a8834d44f0" /><Relationship Type="http://schemas.openxmlformats.org/officeDocument/2006/relationships/theme" Target="/xl/theme/theme1.xml" Id="R9345ba4d2fb343c4" /><Relationship Type="http://schemas.openxmlformats.org/officeDocument/2006/relationships/sharedStrings" Target="/xl/sharedStrings.xml" Id="Rcc0914607a084f0b" /><Relationship Type="http://schemas.openxmlformats.org/officeDocument/2006/relationships/worksheet" Target="/xl/worksheets/sheet1.xml" Id="Rdc16cb9be6824a79" /><Relationship Type="http://schemas.openxmlformats.org/officeDocument/2006/relationships/worksheet" Target="/xl/worksheets/sheet2.xml" Id="Rce82b8e7e65743e6" /><Relationship Type="http://schemas.openxmlformats.org/officeDocument/2006/relationships/worksheet" Target="/xl/worksheets/sheet3.xml" Id="Rd434e7d4461d450d" /><Relationship Type="http://schemas.openxmlformats.org/officeDocument/2006/relationships/worksheet" Target="/xl/worksheets/sheet4.xml" Id="R0568bddd97994331" /><Relationship Type="http://schemas.openxmlformats.org/officeDocument/2006/relationships/worksheet" Target="/xl/worksheets/sheet5.xml" Id="Rcbf5f0c6a36e4611" /><Relationship Type="http://schemas.openxmlformats.org/officeDocument/2006/relationships/worksheet" Target="/xl/worksheets/sheet6.xml" Id="Re64ed9677a844799" /><Relationship Type="http://schemas.openxmlformats.org/officeDocument/2006/relationships/worksheet" Target="/xl/worksheets/sheet7.xml" Id="R350b2a014eaa420f" /><Relationship Type="http://schemas.openxmlformats.org/officeDocument/2006/relationships/worksheet" Target="/xl/worksheets/sheet8.xml" Id="R7ceccc18157547a0" /><Relationship Type="http://schemas.openxmlformats.org/officeDocument/2006/relationships/worksheet" Target="/xl/worksheets/sheet9.xml" Id="R56a3b16b949b47f2" /><Relationship Type="http://schemas.openxmlformats.org/officeDocument/2006/relationships/worksheet" Target="/xl/worksheets/sheet10.xml" Id="Re787339d614b4190" /><Relationship Type="http://schemas.openxmlformats.org/officeDocument/2006/relationships/worksheet" Target="/xl/worksheets/sheet11.xml" Id="Rcc65052a42d147cc" /><Relationship Type="http://schemas.openxmlformats.org/officeDocument/2006/relationships/worksheet" Target="/xl/worksheets/sheet12.xml" Id="R8e92622207644793" /><Relationship Type="http://schemas.openxmlformats.org/officeDocument/2006/relationships/worksheet" Target="/xl/worksheets/sheet13.xml" Id="Rf1ee3d1387d345b0" /></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a:majorFont>
        <a:latin typeface="Calibri"/>
        <a:ea typeface="Calibri"/>
        <a:cs typeface="Calibri"/>
      </a:majorFont>
      <a:minorFont>
        <a:latin typeface="Calibri"/>
        <a:ea typeface="Calibri"/>
        <a:cs typeface="Calibri"/>
      </a:minorFont>
    </a:fontScheme>
    <a:fmtScheme name="Office Theme">
      <a:fillStyleLst>
        <a:solidFill>
          <a:schemeClr val="phClr"/>
        </a:solidFill>
        <a:solidFill>
          <a:schemeClr val="dk1"/>
        </a:solidFill>
        <a:solidFill>
          <a:schemeClr val="accent1"/>
        </a:soli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41.25"/>
  <x:cols>
    <x:col min="1" max="1" width="36" hidden="0" customWidth="1"/>
    <x:col min="2" max="2" width="100" hidden="0" customWidth="1"/>
  </x:cols>
  <x:sheetData>
    <x:row r="1" s="245" customFormat="1" ht="54" hidden="0" customHeight="1">
      <x:c r="A1" s="384" t="s">
        <x:v>0</x:v>
      </x:c>
      <x:c r="B1" s="366"/>
      <x:c r="C1" s="367"/>
      <x:c r="D1" s="367"/>
      <x:c r="E1" s="367"/>
      <x:c r="F1" s="367"/>
      <x:c r="G1" s="367"/>
      <x:c r="H1" s="367"/>
      <x:c r="I1" s="368"/>
    </x:row>
    <x:row r="2" ht="41.25" hidden="0" customHeight="1">
      <x:c r="A2" s="369" t="s">
        <x:v>1</x:v>
      </x:c>
      <x:c r="B2" s="370" t="s">
        <x:v>2</x:v>
      </x:c>
      <x:c r="C2" s="371"/>
      <x:c r="D2" s="371"/>
      <x:c r="E2" s="371"/>
      <x:c r="F2" s="371"/>
      <x:c r="G2" s="371"/>
      <x:c r="H2" s="371"/>
      <x:c r="I2" s="372"/>
    </x:row>
    <x:row r="3" ht="41.25" hidden="0" customHeight="1">
      <x:c r="A3" s="369" t="s">
        <x:v>3</x:v>
      </x:c>
      <x:c r="B3" s="370" t="str">
        <x:v>Sekai Kanyoke</x:v>
      </x:c>
      <x:c r="C3" s="371"/>
      <x:c r="D3" s="371"/>
      <x:c r="E3" s="371"/>
      <x:c r="F3" s="371"/>
      <x:c r="G3" s="371"/>
      <x:c r="H3" s="371"/>
      <x:c r="I3" s="372"/>
    </x:row>
    <x:row r="4" ht="41.25" hidden="0" customHeight="1">
      <x:c r="A4" s="369" t="s">
        <x:v>4</x:v>
      </x:c>
      <x:c r="B4" s="370" t="s">
        <x:v>5</x:v>
      </x:c>
      <x:c r="C4" s="371"/>
      <x:c r="D4" s="371"/>
      <x:c r="E4" s="371"/>
      <x:c r="F4" s="371"/>
      <x:c r="G4" s="371"/>
      <x:c r="H4" s="371"/>
      <x:c r="I4" s="372"/>
    </x:row>
    <x:row r="5" ht="41.25" hidden="0" customHeight="1">
      <x:c r="A5" s="369" t="s">
        <x:v>6</x:v>
      </x:c>
      <x:c r="B5" s="370" t="str">
        <x:v>7 August 2026</x:v>
      </x:c>
      <x:c r="C5" s="371"/>
      <x:c r="D5" s="371"/>
      <x:c r="E5" s="371"/>
      <x:c r="F5" s="371"/>
      <x:c r="G5" s="371"/>
      <x:c r="H5" s="371"/>
      <x:c r="I5" s="372"/>
    </x:row>
    <x:row r="6" ht="41.25" hidden="0" customHeight="1">
      <x:c r="A6" s="369" t="s">
        <x:v>7</x:v>
      </x:c>
      <x:c r="B6" s="370" t="str">
        <x:v>Excel extraction, cleaning, governance and validation are complete. Complaints_Clean has been reconciled to the SQL analytics.complaints_clean extract at 295 analytical records. Power BI dashboard and final executive summary remain in progress.</x:v>
      </x:c>
      <x:c r="C6" s="371"/>
      <x:c r="D6" s="371"/>
      <x:c r="E6" s="371"/>
      <x:c r="F6" s="371"/>
      <x:c r="G6" s="371"/>
      <x:c r="H6" s="371"/>
      <x:c r="I6" s="372"/>
    </x:row>
    <x:row r="7" ht="41.25" hidden="0" customHeight="1">
      <x:c r="A7" s="369" t="s">
        <x:v>8</x:v>
      </x:c>
      <x:c r="B7" s="370" t="s">
        <x:v>9</x:v>
      </x:c>
      <x:c r="C7" s="371"/>
      <x:c r="D7" s="371"/>
      <x:c r="E7" s="371"/>
      <x:c r="F7" s="371"/>
      <x:c r="G7" s="371"/>
      <x:c r="H7" s="371"/>
      <x:c r="I7" s="372"/>
    </x:row>
    <x:row r="8" ht="41.25" hidden="0" customHeight="1">
      <x:c r="A8" s="369" t="s">
        <x:v>10</x:v>
      </x:c>
      <x:c r="B8" s="370" t="s">
        <x:v>11</x:v>
      </x:c>
      <x:c r="C8" s="371"/>
      <x:c r="D8" s="371"/>
      <x:c r="E8" s="371"/>
      <x:c r="F8" s="371"/>
      <x:c r="G8" s="371"/>
      <x:c r="H8" s="371"/>
      <x:c r="I8" s="372"/>
    </x:row>
    <x:row r="9" ht="41.25" hidden="0" customHeight="1">
      <x:c r="A9" s="395" t="s">
        <x:v>12</x:v>
      </x:c>
      <x:c r="B9" s="371"/>
      <x:c r="C9" s="371"/>
      <x:c r="D9" s="371"/>
      <x:c r="E9" s="371"/>
      <x:c r="F9" s="371"/>
      <x:c r="G9" s="371"/>
      <x:c r="H9" s="371"/>
      <x:c r="I9" s="372"/>
    </x:row>
    <x:row r="10" s="245" customFormat="1" ht="41.25" hidden="0" customHeight="1">
      <x:c r="A10" s="388" t="s">
        <x:v>13</x:v>
      </x:c>
      <x:c r="B10" s="374" t="s">
        <x:v>14</x:v>
      </x:c>
      <x:c r="C10" s="375"/>
      <x:c r="D10" s="371"/>
      <x:c r="E10" s="371"/>
      <x:c r="F10" s="371"/>
      <x:c r="G10" s="371"/>
      <x:c r="H10" s="371"/>
      <x:c r="I10" s="372"/>
    </x:row>
    <x:row r="11" ht="41.25" hidden="0" customHeight="1">
      <x:c r="A11" s="369" t="s">
        <x:v>15</x:v>
      </x:c>
      <x:c r="B11" s="370" t="s">
        <x:v>16</x:v>
      </x:c>
      <x:c r="C11" s="371"/>
      <x:c r="D11" s="371"/>
      <x:c r="E11" s="371"/>
      <x:c r="F11" s="371"/>
      <x:c r="G11" s="371"/>
      <x:c r="H11" s="371"/>
      <x:c r="I11" s="372"/>
    </x:row>
    <x:row r="12" ht="41.25" hidden="0" customHeight="1">
      <x:c r="A12" s="369"/>
      <x:c r="B12" s="370"/>
      <x:c r="C12" s="371"/>
      <x:c r="D12" s="371"/>
      <x:c r="E12" s="371"/>
      <x:c r="F12" s="371"/>
      <x:c r="G12" s="371"/>
      <x:c r="H12" s="371"/>
      <x:c r="I12" s="372"/>
    </x:row>
    <x:row r="13" ht="41.25" hidden="0" customHeight="1">
      <x:c r="A13" s="369" t="s">
        <x:v>17</x:v>
      </x:c>
      <x:c r="B13" s="370" t="s">
        <x:v>18</x:v>
      </x:c>
      <x:c r="C13" s="371"/>
      <x:c r="D13" s="371"/>
      <x:c r="E13" s="371"/>
      <x:c r="F13" s="371"/>
      <x:c r="G13" s="371"/>
      <x:c r="H13" s="371"/>
      <x:c r="I13" s="372"/>
    </x:row>
    <x:row r="14" ht="41.25" hidden="0" customHeight="1">
      <x:c r="A14" s="369" t="s">
        <x:v>19</x:v>
      </x:c>
      <x:c r="B14" s="370" t="s">
        <x:v>20</x:v>
      </x:c>
      <x:c r="C14" s="371"/>
      <x:c r="D14" s="371"/>
      <x:c r="E14" s="371"/>
      <x:c r="F14" s="371"/>
      <x:c r="G14" s="371"/>
      <x:c r="H14" s="371"/>
      <x:c r="I14" s="372"/>
    </x:row>
    <x:row r="15" ht="41.25" hidden="0" customHeight="1">
      <x:c r="A15" s="369" t="str">
        <x:v>Data_Dictionary</x:v>
      </x:c>
      <x:c r="B15" s="370" t="str">
        <x:v>Field-level definitions shared across the three clean datasets, including allowed values, units and analyst cautions.</x:v>
      </x:c>
      <x:c r="C15" s="371"/>
      <x:c r="D15" s="371"/>
      <x:c r="E15" s="371"/>
      <x:c r="F15" s="371"/>
      <x:c r="G15" s="371"/>
      <x:c r="H15" s="371"/>
      <x:c r="I15" s="372"/>
    </x:row>
    <x:row r="16" ht="41.25" hidden="0" customHeight="1">
      <x:c r="A16" s="369" t="str">
        <x:v>DQ_Checks</x:v>
      </x:c>
      <x:c r="B16" s="370" t="str">
        <x:v>Five completed data-quality checks with evidence, plus the retained worker-regulation reconciliation exception.</x:v>
      </x:c>
      <x:c r="C16" s="371"/>
      <x:c r="D16" s="371"/>
      <x:c r="E16" s="371"/>
      <x:c r="F16" s="371"/>
      <x:c r="G16" s="371"/>
      <x:c r="H16" s="371"/>
      <x:c r="I16" s="372"/>
    </x:row>
    <x:row r="17" ht="41.25" hidden="0" customHeight="1">
      <x:c r="A17" s="369" t="str">
        <x:v>Analysis_Summary</x:v>
      </x:c>
      <x:c r="B17" s="370" t="str">
        <x:v>Verified findings, comparability limits and recommended actions linked to the clean data tables.</x:v>
      </x:c>
      <x:c r="C17" s="371"/>
      <x:c r="D17" s="371"/>
      <x:c r="E17" s="371"/>
      <x:c r="F17" s="371"/>
      <x:c r="G17" s="371"/>
      <x:c r="H17" s="371"/>
      <x:c r="I17" s="372"/>
    </x:row>
    <x:row r="18" ht="41.25" hidden="0" customHeight="1">
      <x:c r="A18" s="369" t="str">
        <x:v>Worker_Regulation_Staging / Worker_Regulation_Clean</x:v>
      </x:c>
      <x:c r="B18" s="370" t="str">
        <x:v>Raw extract and cleaned, tidy fact table for worker-regulation investigation cases, regulatory letters and banning orders.</x:v>
      </x:c>
      <x:c r="C18" s="371"/>
      <x:c r="D18" s="371"/>
      <x:c r="E18" s="371"/>
      <x:c r="F18" s="371"/>
      <x:c r="G18" s="371"/>
      <x:c r="H18" s="371"/>
      <x:c r="I18" s="372"/>
    </x:row>
    <x:row r="19" ht="41.25" hidden="0" customHeight="1">
      <x:c r="A19" s="369" t="str">
        <x:v>SIRS_Incident_Staging / SIRS_Incidents_Clean</x:v>
      </x:c>
      <x:c r="B19" s="370" t="str">
        <x:v>Raw extract and cleaned fact table for Serious Incident Response Scheme notifications, by type and priority.</x:v>
      </x:c>
      <x:c r="C19" s="371"/>
      <x:c r="D19" s="371"/>
      <x:c r="E19" s="371"/>
      <x:c r="F19" s="371"/>
      <x:c r="G19" s="371"/>
      <x:c r="H19" s="371"/>
      <x:c r="I19" s="372"/>
    </x:row>
    <x:row r="20" ht="41.25" hidden="0" customHeight="1">
      <x:c r="A20" s="369" t="s">
        <x:v>21</x:v>
      </x:c>
      <x:c r="B20" s="370" t="s">
        <x:v>22</x:v>
      </x:c>
      <x:c r="C20" s="371"/>
      <x:c r="D20" s="371"/>
      <x:c r="E20" s="371"/>
      <x:c r="F20" s="371"/>
      <x:c r="G20" s="371"/>
      <x:c r="H20" s="371"/>
      <x:c r="I20" s="372"/>
    </x:row>
    <x:row r="21" ht="41.25" hidden="0" customHeight="1">
      <x:c r="A21" s="369" t="str">
        <x:v>Power BI dashboard (external deliverable)</x:v>
      </x:c>
      <x:c r="B21" s="370" t="str">
        <x:v>The Power BI data model, visuals and dashboard are maintained in a separate .pbix file and are currently in progress.</x:v>
      </x:c>
      <x:c r="C21" s="371"/>
      <x:c r="D21" s="371"/>
      <x:c r="E21" s="371"/>
      <x:c r="F21" s="371"/>
      <x:c r="G21" s="371"/>
      <x:c r="H21" s="371"/>
      <x:c r="I21" s="372"/>
    </x:row>
    <x:row r="22" ht="41.25" hidden="0" customHeight="1">
      <x:c r="A22" s="395" t="s">
        <x:v>23</x:v>
      </x:c>
      <x:c r="B22" s="371"/>
      <x:c r="C22" s="371"/>
      <x:c r="D22" s="371"/>
      <x:c r="E22" s="371"/>
      <x:c r="F22" s="371"/>
      <x:c r="G22" s="371"/>
      <x:c r="H22" s="371"/>
      <x:c r="I22" s="372"/>
    </x:row>
    <x:row r="23" ht="41.25" hidden="0" customHeight="1">
      <x:c r="A23" s="376"/>
      <x:c r="B23" s="370" t="s">
        <x:v>24</x:v>
      </x:c>
      <x:c r="C23" s="371"/>
      <x:c r="D23" s="371"/>
      <x:c r="E23" s="371"/>
      <x:c r="F23" s="371"/>
      <x:c r="G23" s="371"/>
      <x:c r="H23" s="371"/>
      <x:c r="I23" s="372"/>
    </x:row>
    <x:row r="24" ht="41.25" hidden="0" customHeight="1">
      <x:c r="A24" s="376"/>
      <x:c r="B24" s="370" t="s">
        <x:v>25</x:v>
      </x:c>
      <x:c r="C24" s="371"/>
      <x:c r="D24" s="371"/>
      <x:c r="E24" s="371"/>
      <x:c r="F24" s="371"/>
      <x:c r="G24" s="371"/>
      <x:c r="H24" s="371"/>
      <x:c r="I24" s="372"/>
    </x:row>
    <x:row r="25" ht="41.25" hidden="0" customHeight="1">
      <x:c r="A25" s="376"/>
      <x:c r="B25" s="370" t="s">
        <x:v>26</x:v>
      </x:c>
      <x:c r="C25" s="371"/>
      <x:c r="D25" s="371"/>
      <x:c r="E25" s="371"/>
      <x:c r="F25" s="371"/>
      <x:c r="G25" s="371"/>
      <x:c r="H25" s="371"/>
      <x:c r="I25" s="372"/>
    </x:row>
    <x:row r="26" ht="41.25" hidden="0" customHeight="1">
      <x:c r="A26" s="376"/>
      <x:c r="B26" s="370" t="s">
        <x:v>27</x:v>
      </x:c>
      <x:c r="C26" s="371"/>
      <x:c r="D26" s="371"/>
      <x:c r="E26" s="371"/>
      <x:c r="F26" s="371"/>
      <x:c r="G26" s="371"/>
      <x:c r="H26" s="371"/>
      <x:c r="I26" s="372"/>
    </x:row>
    <x:row r="27" ht="41.25" hidden="0" customHeight="1">
      <x:c r="A27" s="376"/>
      <x:c r="B27" s="370" t="s">
        <x:v>28</x:v>
      </x:c>
      <x:c r="C27" s="371"/>
      <x:c r="D27" s="371"/>
      <x:c r="E27" s="371"/>
      <x:c r="F27" s="371"/>
      <x:c r="G27" s="371"/>
      <x:c r="H27" s="371"/>
      <x:c r="I27" s="372"/>
    </x:row>
    <x:row r="28" ht="41.25" hidden="0" customHeight="1">
      <x:c r="A28" s="369" t="s">
        <x:v>29</x:v>
      </x:c>
      <x:c r="B28" s="370" t="s">
        <x:v>30</x:v>
      </x:c>
      <x:c r="C28" s="371"/>
      <x:c r="D28" s="371"/>
      <x:c r="E28" s="371"/>
      <x:c r="F28" s="371"/>
      <x:c r="G28" s="371"/>
      <x:c r="H28" s="371"/>
      <x:c r="I28" s="372"/>
    </x:row>
    <x:row r="29" ht="41.25" hidden="0" customHeight="1">
      <x:c r="A29" s="376"/>
      <x:c r="B29" s="371"/>
      <x:c r="C29" s="371"/>
      <x:c r="D29" s="371"/>
      <x:c r="E29" s="371"/>
      <x:c r="F29" s="371"/>
      <x:c r="G29" s="371"/>
      <x:c r="H29" s="371"/>
      <x:c r="I29" s="372"/>
    </x:row>
    <x:row r="30" ht="41.25" hidden="0" customHeight="1">
      <x:c r="A30" s="395" t="s">
        <x:v>31</x:v>
      </x:c>
      <x:c r="B30" s="371"/>
      <x:c r="C30" s="371"/>
      <x:c r="D30" s="371"/>
      <x:c r="E30" s="371"/>
      <x:c r="F30" s="371"/>
      <x:c r="G30" s="371"/>
      <x:c r="H30" s="371"/>
      <x:c r="I30" s="372"/>
    </x:row>
    <x:row r="31" ht="41.25" hidden="0" customHeight="1">
      <x:c r="A31" s="369" t="s">
        <x:v>32</x:v>
      </x:c>
      <x:c r="B31" s="371"/>
      <x:c r="C31" s="371"/>
      <x:c r="D31" s="371"/>
      <x:c r="E31" s="371"/>
      <x:c r="F31" s="371"/>
      <x:c r="G31" s="371"/>
      <x:c r="H31" s="371"/>
      <x:c r="I31" s="372"/>
    </x:row>
    <x:row r="32" s="316" customFormat="1" ht="41.25" hidden="0" customHeight="1">
      <x:c r="A32" s="392" t="s">
        <x:v>33</x:v>
      </x:c>
      <x:c r="B32" s="378" t="s">
        <x:v>34</x:v>
      </x:c>
      <x:c r="C32" s="375"/>
      <x:c r="D32" s="371"/>
      <x:c r="E32" s="371"/>
      <x:c r="F32" s="371"/>
      <x:c r="G32" s="371"/>
      <x:c r="H32" s="371"/>
      <x:c r="I32" s="372"/>
    </x:row>
    <x:row r="33" ht="41.25" hidden="0" customHeight="1">
      <x:c r="A33" s="369" t="s">
        <x:v>35</x:v>
      </x:c>
      <x:c r="B33" s="370" t="s">
        <x:v>36</x:v>
      </x:c>
      <x:c r="C33" s="371"/>
      <x:c r="D33" s="371"/>
      <x:c r="E33" s="371"/>
      <x:c r="F33" s="371"/>
      <x:c r="G33" s="371"/>
      <x:c r="H33" s="371"/>
      <x:c r="I33" s="372"/>
    </x:row>
    <x:row r="34" ht="41.25" hidden="0" customHeight="1">
      <x:c r="A34" s="369" t="s">
        <x:v>37</x:v>
      </x:c>
      <x:c r="B34" s="370" t="s">
        <x:v>38</x:v>
      </x:c>
      <x:c r="C34" s="371"/>
      <x:c r="D34" s="371"/>
      <x:c r="E34" s="371"/>
      <x:c r="F34" s="371"/>
      <x:c r="G34" s="371"/>
      <x:c r="H34" s="371"/>
      <x:c r="I34" s="372"/>
    </x:row>
    <x:row r="35" ht="41.25" hidden="0" customHeight="1">
      <x:c r="A35" s="369" t="s">
        <x:v>39</x:v>
      </x:c>
      <x:c r="B35" s="370" t="s">
        <x:v>40</x:v>
      </x:c>
      <x:c r="C35" s="371"/>
      <x:c r="D35" s="371"/>
      <x:c r="E35" s="371"/>
      <x:c r="F35" s="371"/>
      <x:c r="G35" s="371"/>
      <x:c r="H35" s="371"/>
      <x:c r="I35" s="372"/>
    </x:row>
    <x:row r="36" ht="41.25" hidden="0" customHeight="1">
      <x:c r="A36" s="369" t="s">
        <x:v>41</x:v>
      </x:c>
      <x:c r="B36" s="370" t="s">
        <x:v>42</x:v>
      </x:c>
      <x:c r="C36" s="371"/>
      <x:c r="D36" s="371"/>
      <x:c r="E36" s="371"/>
      <x:c r="F36" s="371"/>
      <x:c r="G36" s="371"/>
      <x:c r="H36" s="371"/>
      <x:c r="I36" s="372"/>
    </x:row>
    <x:row r="37" ht="41.25" hidden="0" customHeight="1">
      <x:c r="A37" s="369" t="s">
        <x:v>43</x:v>
      </x:c>
      <x:c r="B37" s="370" t="s">
        <x:v>44</x:v>
      </x:c>
      <x:c r="C37" s="371"/>
      <x:c r="D37" s="371"/>
      <x:c r="E37" s="371"/>
      <x:c r="F37" s="371"/>
      <x:c r="G37" s="371"/>
      <x:c r="H37" s="371"/>
      <x:c r="I37" s="372"/>
    </x:row>
    <x:row r="38" ht="41.25" hidden="0" customHeight="1">
      <x:c r="A38" s="369" t="s">
        <x:v>45</x:v>
      </x:c>
      <x:c r="B38" s="370" t="s">
        <x:v>46</x:v>
      </x:c>
      <x:c r="C38" s="371"/>
      <x:c r="D38" s="371"/>
      <x:c r="E38" s="371"/>
      <x:c r="F38" s="371"/>
      <x:c r="G38" s="371"/>
      <x:c r="H38" s="371"/>
      <x:c r="I38" s="372"/>
    </x:row>
    <x:row r="39" ht="41.25" hidden="0" customHeight="1">
      <x:c r="A39" s="369" t="s">
        <x:v>47</x:v>
      </x:c>
      <x:c r="B39" s="370" t="s">
        <x:v>48</x:v>
      </x:c>
      <x:c r="C39" s="371"/>
      <x:c r="D39" s="371"/>
      <x:c r="E39" s="371"/>
      <x:c r="F39" s="371"/>
      <x:c r="G39" s="371"/>
      <x:c r="H39" s="371"/>
      <x:c r="I39" s="372"/>
    </x:row>
    <x:row r="40" ht="41.25" hidden="0" customHeight="1">
      <x:c r="A40" s="369" t="s">
        <x:v>49</x:v>
      </x:c>
      <x:c r="B40" s="370" t="s">
        <x:v>50</x:v>
      </x:c>
      <x:c r="C40" s="371"/>
      <x:c r="D40" s="371"/>
      <x:c r="E40" s="371"/>
      <x:c r="F40" s="371"/>
      <x:c r="G40" s="371"/>
      <x:c r="H40" s="371"/>
      <x:c r="I40" s="372"/>
    </x:row>
    <x:row r="41" s="255" customFormat="1" ht="186" hidden="0" customHeight="1">
      <x:c r="A41" s="369" t="s">
        <x:v>51</x:v>
      </x:c>
      <x:c r="B41" s="371"/>
      <x:c r="C41" s="371"/>
      <x:c r="D41" s="371"/>
      <x:c r="E41" s="371"/>
      <x:c r="F41" s="371"/>
      <x:c r="G41" s="371"/>
      <x:c r="H41" s="371"/>
      <x:c r="I41" s="372"/>
    </x:row>
    <x:row r="42" s="255" customFormat="1" ht="41.25" customHeight="1">
      <x:c r="A42" s="376"/>
      <x:c r="B42" s="371"/>
      <x:c r="C42" s="371"/>
      <x:c r="D42" s="371"/>
      <x:c r="E42" s="371"/>
      <x:c r="F42" s="371"/>
      <x:c r="G42" s="371"/>
      <x:c r="H42" s="371"/>
      <x:c r="I42" s="372"/>
    </x:row>
    <x:row r="43" s="255" customFormat="1" ht="41.25" customHeight="1">
      <x:c r="A43" s="376"/>
      <x:c r="B43" s="371"/>
      <x:c r="C43" s="371"/>
      <x:c r="D43" s="371"/>
      <x:c r="E43" s="371"/>
      <x:c r="F43" s="371"/>
      <x:c r="G43" s="371"/>
      <x:c r="H43" s="371"/>
      <x:c r="I43" s="372"/>
    </x:row>
    <x:row r="44" s="255" customFormat="1" ht="41.25" customHeight="1">
      <x:c r="A44" s="376"/>
      <x:c r="B44" s="371"/>
      <x:c r="C44" s="371"/>
      <x:c r="D44" s="371"/>
      <x:c r="E44" s="371"/>
      <x:c r="F44" s="371"/>
      <x:c r="G44" s="371"/>
      <x:c r="H44" s="371"/>
      <x:c r="I44" s="372"/>
    </x:row>
    <x:row r="45" s="255" customFormat="1" ht="41.25" customHeight="1">
      <x:c r="A45" s="376"/>
      <x:c r="B45" s="371"/>
      <x:c r="C45" s="371"/>
      <x:c r="D45" s="371"/>
      <x:c r="E45" s="371"/>
      <x:c r="F45" s="371"/>
      <x:c r="G45" s="371"/>
      <x:c r="H45" s="371"/>
      <x:c r="I45" s="372"/>
    </x:row>
    <x:row r="46" ht="41.25" customHeight="1">
      <x:c r="A46" s="376"/>
      <x:c r="B46" s="371"/>
      <x:c r="C46" s="371"/>
      <x:c r="D46" s="371"/>
      <x:c r="E46" s="371"/>
      <x:c r="F46" s="371"/>
      <x:c r="G46" s="371"/>
      <x:c r="H46" s="371"/>
      <x:c r="I46" s="372"/>
    </x:row>
    <x:row r="47" ht="41.25" customHeight="1">
      <x:c r="A47" s="376"/>
      <x:c r="B47" s="371"/>
      <x:c r="C47" s="371"/>
      <x:c r="D47" s="371"/>
      <x:c r="E47" s="371"/>
      <x:c r="F47" s="371"/>
      <x:c r="G47" s="371"/>
      <x:c r="H47" s="371"/>
      <x:c r="I47" s="372"/>
    </x:row>
    <x:row r="48" ht="41.25" customHeight="1">
      <x:c r="A48" s="376"/>
      <x:c r="B48" s="371"/>
      <x:c r="C48" s="371"/>
      <x:c r="D48" s="371"/>
      <x:c r="E48" s="371"/>
      <x:c r="F48" s="371"/>
      <x:c r="G48" s="371"/>
      <x:c r="H48" s="371"/>
      <x:c r="I48" s="372"/>
    </x:row>
    <x:row r="49" ht="41.25" customHeight="1">
      <x:c r="A49" s="376"/>
      <x:c r="B49" s="371"/>
      <x:c r="C49" s="371"/>
      <x:c r="D49" s="371"/>
      <x:c r="E49" s="371"/>
      <x:c r="F49" s="371"/>
      <x:c r="G49" s="371"/>
      <x:c r="H49" s="371"/>
      <x:c r="I49" s="372"/>
    </x:row>
    <x:row r="50" ht="41.25" customHeight="1">
      <x:c r="A50" s="376"/>
      <x:c r="B50" s="371"/>
      <x:c r="C50" s="371"/>
      <x:c r="D50" s="371"/>
      <x:c r="E50" s="371"/>
      <x:c r="F50" s="371"/>
      <x:c r="G50" s="371"/>
      <x:c r="H50" s="371"/>
      <x:c r="I50" s="372"/>
    </x:row>
    <x:row r="51" ht="41.25" customHeight="1">
      <x:c r="A51" s="376"/>
      <x:c r="B51" s="371"/>
      <x:c r="C51" s="371"/>
      <x:c r="D51" s="371"/>
      <x:c r="E51" s="371"/>
      <x:c r="F51" s="371"/>
      <x:c r="G51" s="371"/>
      <x:c r="H51" s="371"/>
      <x:c r="I51" s="372"/>
    </x:row>
    <x:row r="52" ht="41.25" customHeight="1">
      <x:c r="A52" s="376"/>
      <x:c r="B52" s="371"/>
      <x:c r="C52" s="371"/>
      <x:c r="D52" s="371"/>
      <x:c r="E52" s="371"/>
      <x:c r="F52" s="371"/>
      <x:c r="G52" s="371"/>
      <x:c r="H52" s="371"/>
      <x:c r="I52" s="372"/>
    </x:row>
    <x:row r="53" ht="41.25" customHeight="1">
      <x:c r="A53" s="376"/>
      <x:c r="B53" s="371"/>
      <x:c r="C53" s="371"/>
      <x:c r="D53" s="371"/>
      <x:c r="E53" s="371"/>
      <x:c r="F53" s="371"/>
      <x:c r="G53" s="371"/>
      <x:c r="H53" s="371"/>
      <x:c r="I53" s="372"/>
    </x:row>
    <x:row r="54" ht="41.25" customHeight="1">
      <x:c r="A54" s="376"/>
      <x:c r="B54" s="371"/>
      <x:c r="C54" s="371"/>
      <x:c r="D54" s="371"/>
      <x:c r="E54" s="371"/>
      <x:c r="F54" s="371"/>
      <x:c r="G54" s="371"/>
      <x:c r="H54" s="371"/>
      <x:c r="I54" s="372"/>
    </x:row>
    <x:row r="55" ht="41.25" customHeight="1">
      <x:c r="A55" s="376"/>
      <x:c r="B55" s="371"/>
      <x:c r="C55" s="371"/>
      <x:c r="D55" s="371"/>
      <x:c r="E55" s="371"/>
      <x:c r="F55" s="371"/>
      <x:c r="G55" s="371"/>
      <x:c r="H55" s="371"/>
      <x:c r="I55" s="372"/>
    </x:row>
    <x:row r="56" ht="41.25" customHeight="1">
      <x:c r="A56" s="376"/>
      <x:c r="B56" s="371"/>
      <x:c r="C56" s="371"/>
      <x:c r="D56" s="371"/>
      <x:c r="E56" s="371"/>
      <x:c r="F56" s="371"/>
      <x:c r="G56" s="371"/>
      <x:c r="H56" s="371"/>
      <x:c r="I56" s="372"/>
    </x:row>
    <x:row r="57" ht="41.25" customHeight="1">
      <x:c r="A57" s="376"/>
      <x:c r="B57" s="371"/>
      <x:c r="C57" s="371"/>
      <x:c r="D57" s="371"/>
      <x:c r="E57" s="371"/>
      <x:c r="F57" s="371"/>
      <x:c r="G57" s="371"/>
      <x:c r="H57" s="371"/>
      <x:c r="I57" s="372"/>
    </x:row>
    <x:row r="58" ht="41.25" customHeight="1">
      <x:c r="A58" s="376"/>
      <x:c r="B58" s="371"/>
      <x:c r="C58" s="371"/>
      <x:c r="D58" s="371"/>
      <x:c r="E58" s="371"/>
      <x:c r="F58" s="371"/>
      <x:c r="G58" s="371"/>
      <x:c r="H58" s="371"/>
      <x:c r="I58" s="372"/>
    </x:row>
    <x:row r="59" ht="41.25" customHeight="1">
      <x:c r="A59" s="376"/>
      <x:c r="B59" s="371"/>
      <x:c r="C59" s="371"/>
      <x:c r="D59" s="371"/>
      <x:c r="E59" s="371"/>
      <x:c r="F59" s="371"/>
      <x:c r="G59" s="371"/>
      <x:c r="H59" s="371"/>
      <x:c r="I59" s="372"/>
    </x:row>
    <x:row r="60" ht="41.25" customHeight="1">
      <x:c r="A60" s="376"/>
      <x:c r="B60" s="371"/>
      <x:c r="C60" s="371"/>
      <x:c r="D60" s="371"/>
      <x:c r="E60" s="371"/>
      <x:c r="F60" s="371"/>
      <x:c r="G60" s="371"/>
      <x:c r="H60" s="371"/>
      <x:c r="I60" s="372"/>
    </x:row>
    <x:row r="61" ht="41.25" customHeight="1">
      <x:c r="A61" s="376"/>
      <x:c r="B61" s="371"/>
      <x:c r="C61" s="371"/>
      <x:c r="D61" s="371"/>
      <x:c r="E61" s="371"/>
      <x:c r="F61" s="371"/>
      <x:c r="G61" s="371"/>
      <x:c r="H61" s="371"/>
      <x:c r="I61" s="372"/>
    </x:row>
    <x:row r="62" ht="41.25" customHeight="1">
      <x:c r="A62" s="376"/>
      <x:c r="B62" s="371"/>
      <x:c r="C62" s="371"/>
      <x:c r="D62" s="371"/>
      <x:c r="E62" s="371"/>
      <x:c r="F62" s="371"/>
      <x:c r="G62" s="371"/>
      <x:c r="H62" s="371"/>
      <x:c r="I62" s="372"/>
    </x:row>
    <x:row r="63" ht="41.25" customHeight="1">
      <x:c r="A63" s="376"/>
      <x:c r="B63" s="371"/>
      <x:c r="C63" s="371"/>
      <x:c r="D63" s="371"/>
      <x:c r="E63" s="371"/>
      <x:c r="F63" s="371"/>
      <x:c r="G63" s="371"/>
      <x:c r="H63" s="371"/>
      <x:c r="I63" s="372"/>
    </x:row>
    <x:row r="64" ht="41.25" customHeight="1">
      <x:c r="A64" s="376"/>
      <x:c r="B64" s="371"/>
      <x:c r="C64" s="371"/>
      <x:c r="D64" s="371"/>
      <x:c r="E64" s="371"/>
      <x:c r="F64" s="371"/>
      <x:c r="G64" s="371"/>
      <x:c r="H64" s="371"/>
      <x:c r="I64" s="372"/>
    </x:row>
    <x:row r="65" ht="41.25" customHeight="1">
      <x:c r="A65" s="376"/>
      <x:c r="B65" s="371"/>
      <x:c r="C65" s="371"/>
      <x:c r="D65" s="371"/>
      <x:c r="E65" s="371"/>
      <x:c r="F65" s="371"/>
      <x:c r="G65" s="371"/>
      <x:c r="H65" s="371"/>
      <x:c r="I65" s="372"/>
    </x:row>
    <x:row r="66" ht="41.25" customHeight="1">
      <x:c r="A66" s="376"/>
      <x:c r="B66" s="371"/>
      <x:c r="C66" s="371"/>
      <x:c r="D66" s="371"/>
      <x:c r="E66" s="371"/>
      <x:c r="F66" s="371"/>
      <x:c r="G66" s="371"/>
      <x:c r="H66" s="371"/>
      <x:c r="I66" s="372"/>
    </x:row>
    <x:row r="67" ht="41.25" customHeight="1">
      <x:c r="A67" s="376"/>
      <x:c r="B67" s="371"/>
      <x:c r="C67" s="371"/>
      <x:c r="D67" s="371"/>
      <x:c r="E67" s="371"/>
      <x:c r="F67" s="371"/>
      <x:c r="G67" s="371"/>
      <x:c r="H67" s="371"/>
      <x:c r="I67" s="372"/>
    </x:row>
    <x:row r="68" ht="41.25" customHeight="1">
      <x:c r="A68" s="376"/>
      <x:c r="B68" s="371"/>
      <x:c r="C68" s="371"/>
      <x:c r="D68" s="371"/>
      <x:c r="E68" s="371"/>
      <x:c r="F68" s="371"/>
      <x:c r="G68" s="371"/>
      <x:c r="H68" s="371"/>
      <x:c r="I68" s="372"/>
    </x:row>
    <x:row r="69" ht="41.25" customHeight="1">
      <x:c r="A69" s="376"/>
      <x:c r="B69" s="371"/>
      <x:c r="C69" s="371"/>
      <x:c r="D69" s="371"/>
      <x:c r="E69" s="371"/>
      <x:c r="F69" s="371"/>
      <x:c r="G69" s="371"/>
      <x:c r="H69" s="371"/>
      <x:c r="I69" s="372"/>
    </x:row>
    <x:row r="70" ht="41.25" customHeight="1">
      <x:c r="A70" s="376"/>
      <x:c r="B70" s="371"/>
      <x:c r="C70" s="371"/>
      <x:c r="D70" s="371"/>
      <x:c r="E70" s="371"/>
      <x:c r="F70" s="371"/>
      <x:c r="G70" s="371"/>
      <x:c r="H70" s="371"/>
      <x:c r="I70" s="372"/>
    </x:row>
    <x:row r="71" ht="41.25" customHeight="1">
      <x:c r="A71" s="376"/>
      <x:c r="B71" s="371"/>
      <x:c r="C71" s="371"/>
      <x:c r="D71" s="371"/>
      <x:c r="E71" s="371"/>
      <x:c r="F71" s="371"/>
      <x:c r="G71" s="371"/>
      <x:c r="H71" s="371"/>
      <x:c r="I71" s="372"/>
    </x:row>
    <x:row r="72" ht="41.25" customHeight="1">
      <x:c r="A72" s="376"/>
      <x:c r="B72" s="371"/>
      <x:c r="C72" s="371"/>
      <x:c r="D72" s="371"/>
      <x:c r="E72" s="371"/>
      <x:c r="F72" s="371"/>
      <x:c r="G72" s="371"/>
      <x:c r="H72" s="371"/>
      <x:c r="I72" s="372"/>
    </x:row>
    <x:row r="73" ht="41.25" customHeight="1">
      <x:c r="A73" s="379"/>
      <x:c r="B73" s="380"/>
      <x:c r="C73" s="380"/>
      <x:c r="D73" s="380"/>
      <x:c r="E73" s="380"/>
      <x:c r="F73" s="380"/>
      <x:c r="G73" s="380"/>
      <x:c r="H73" s="380"/>
      <x:c r="I73" s="381"/>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27.42578125" defaultRowHeight="15"/>
  <x:cols>
    <x:col min="1" max="1" width="30" style="7" hidden="0" customWidth="1"/>
    <x:col min="2" max="2" width="18" style="7" hidden="0" customWidth="1"/>
    <x:col min="3" max="3" width="32" style="7" hidden="0" customWidth="1"/>
    <x:col min="4" max="4" width="24" style="7" hidden="0" customWidth="1"/>
    <x:col min="5" max="5" width="20" style="7" hidden="0" customWidth="1"/>
    <x:col min="6" max="8" width="58" style="7" customWidth="1"/>
    <x:col min="9" max="10" width="27.42578125" style="7" customWidth="1"/>
    <x:col min="11" max="16384" width="27.42578125" style="7" customWidth="0"/>
    <x:col min="6" max="6" width="38" hidden="0" customWidth="1"/>
    <x:col min="7" max="7" width="52" hidden="0" customWidth="1"/>
    <x:col min="8" max="8" width="52" hidden="0" customWidth="1"/>
  </x:cols>
  <x:sheetData>
    <x:row r="1" ht="18" hidden="0" customHeight="1">
      <x:c r="A1" s="486" t="s">
        <x:v>52</x:v>
      </x:c>
      <x:c r="B1" s="473"/>
      <x:c r="C1" s="473"/>
      <x:c r="D1" s="473"/>
      <x:c r="E1" s="473"/>
      <x:c r="F1" s="473"/>
      <x:c r="G1" s="473"/>
      <x:c r="H1" s="473"/>
      <x:c r="I1" s="474"/>
    </x:row>
    <x:row r="2" ht="15" hidden="0" customHeight="1">
      <x:c r="A2" s="475" t="s">
        <x:v>53</x:v>
      </x:c>
      <x:c r="B2" s="476"/>
      <x:c r="C2" s="476"/>
      <x:c r="D2" s="476"/>
      <x:c r="E2" s="476"/>
      <x:c r="F2" s="476"/>
      <x:c r="G2" s="476"/>
      <x:c r="H2" s="476"/>
      <x:c r="I2" s="477"/>
    </x:row>
    <x:row r="3" ht="15" hidden="0" customHeight="1">
      <x:c r="A3" s="490" t="s">
        <x:v>54</x:v>
      </x:c>
      <x:c r="B3" s="479" t="s">
        <x:v>55</x:v>
      </x:c>
      <x:c r="C3" s="479" t="s">
        <x:v>56</x:v>
      </x:c>
      <x:c r="D3" s="479" t="s">
        <x:v>57</x:v>
      </x:c>
      <x:c r="E3" s="479" t="s">
        <x:v>58</x:v>
      </x:c>
      <x:c r="F3" s="479" t="s">
        <x:v>59</x:v>
      </x:c>
      <x:c r="G3" s="479" t="s">
        <x:v>60</x:v>
      </x:c>
      <x:c r="H3" s="479" t="s">
        <x:v>61</x:v>
      </x:c>
      <x:c r="I3" s="477"/>
    </x:row>
    <x:row r="4" ht="15" hidden="0" customHeight="1">
      <x:c r="A4" s="480" t="s">
        <x:v>62</x:v>
      </x:c>
      <x:c r="B4" s="481" t="s">
        <x:v>63</x:v>
      </x:c>
      <x:c r="C4" s="481" t="s">
        <x:v>64</x:v>
      </x:c>
      <x:c r="D4" s="481" t="s">
        <x:v>65</x:v>
      </x:c>
      <x:c r="E4" s="481" t="s">
        <x:v>66</x:v>
      </x:c>
      <x:c r="F4" s="481" t="s">
        <x:v>67</x:v>
      </x:c>
      <x:c r="G4" s="481" t="s">
        <x:v>68</x:v>
      </x:c>
      <x:c r="H4" s="481" t="s">
        <x:v>69</x:v>
      </x:c>
      <x:c r="I4" s="477"/>
    </x:row>
    <x:row r="5" ht="15" hidden="0" customHeight="1">
      <x:c r="A5" s="480" t="s">
        <x:v>70</x:v>
      </x:c>
      <x:c r="B5" s="481" t="s">
        <x:v>63</x:v>
      </x:c>
      <x:c r="C5" s="481" t="s">
        <x:v>71</x:v>
      </x:c>
      <x:c r="D5" s="481" t="s">
        <x:v>72</x:v>
      </x:c>
      <x:c r="E5" s="481" t="s">
        <x:v>73</x:v>
      </x:c>
      <x:c r="F5" s="481" t="s">
        <x:v>74</x:v>
      </x:c>
      <x:c r="G5" s="481" t="s">
        <x:v>75</x:v>
      </x:c>
      <x:c r="H5" s="481" t="s">
        <x:v>76</x:v>
      </x:c>
      <x:c r="I5" s="477"/>
    </x:row>
    <x:row r="6" ht="15" hidden="0" customHeight="1">
      <x:c r="A6" s="480" t="s">
        <x:v>77</x:v>
      </x:c>
      <x:c r="B6" s="481" t="s">
        <x:v>63</x:v>
      </x:c>
      <x:c r="C6" s="481" t="s">
        <x:v>78</x:v>
      </x:c>
      <x:c r="D6" s="481" t="s">
        <x:v>72</x:v>
      </x:c>
      <x:c r="E6" s="481" t="s">
        <x:v>73</x:v>
      </x:c>
      <x:c r="F6" s="481" t="s">
        <x:v>79</x:v>
      </x:c>
      <x:c r="G6" s="481" t="s">
        <x:v>80</x:v>
      </x:c>
      <x:c r="H6" s="481" t="s">
        <x:v>81</x:v>
      </x:c>
      <x:c r="I6" s="477"/>
    </x:row>
    <x:row r="7" ht="15" hidden="0" customHeight="1">
      <x:c r="A7" s="480" t="s">
        <x:v>82</x:v>
      </x:c>
      <x:c r="B7" s="481" t="s">
        <x:v>83</x:v>
      </x:c>
      <x:c r="C7" s="481" t="s">
        <x:v>82</x:v>
      </x:c>
      <x:c r="D7" s="481" t="s">
        <x:v>84</x:v>
      </x:c>
      <x:c r="E7" s="481" t="s">
        <x:v>85</x:v>
      </x:c>
      <x:c r="F7" s="481" t="s">
        <x:v>86</x:v>
      </x:c>
      <x:c r="G7" s="481" t="s">
        <x:v>87</x:v>
      </x:c>
      <x:c r="H7" s="481" t="s">
        <x:v>88</x:v>
      </x:c>
      <x:c r="I7" s="477"/>
    </x:row>
    <x:row r="8" ht="15" hidden="0" customHeight="1">
      <x:c r="A8" s="480" t="s">
        <x:v>89</x:v>
      </x:c>
      <x:c r="B8" s="481" t="s">
        <x:v>83</x:v>
      </x:c>
      <x:c r="C8" s="481" t="s">
        <x:v>89</x:v>
      </x:c>
      <x:c r="D8" s="481" t="s">
        <x:v>84</x:v>
      </x:c>
      <x:c r="E8" s="481" t="s">
        <x:v>85</x:v>
      </x:c>
      <x:c r="F8" s="481" t="s">
        <x:v>90</x:v>
      </x:c>
      <x:c r="G8" s="481" t="s">
        <x:v>91</x:v>
      </x:c>
      <x:c r="H8" s="481" t="s">
        <x:v>92</x:v>
      </x:c>
      <x:c r="I8" s="477"/>
    </x:row>
    <x:row r="9" ht="15" hidden="0" customHeight="1">
      <x:c r="A9" s="480" t="s">
        <x:v>93</x:v>
      </x:c>
      <x:c r="B9" s="481" t="s">
        <x:v>83</x:v>
      </x:c>
      <x:c r="C9" s="481" t="s">
        <x:v>94</x:v>
      </x:c>
      <x:c r="D9" s="481" t="s">
        <x:v>65</x:v>
      </x:c>
      <x:c r="E9" s="481" t="s">
        <x:v>95</x:v>
      </x:c>
      <x:c r="F9" s="481" t="s">
        <x:v>96</x:v>
      </x:c>
      <x:c r="G9" s="481" t="s">
        <x:v>97</x:v>
      </x:c>
      <x:c r="H9" s="481" t="s">
        <x:v>98</x:v>
      </x:c>
      <x:c r="I9" s="477"/>
    </x:row>
    <x:row r="10" ht="15" hidden="0" customHeight="1">
      <x:c r="A10" s="480" t="s">
        <x:v>99</x:v>
      </x:c>
      <x:c r="B10" s="481" t="s">
        <x:v>100</x:v>
      </x:c>
      <x:c r="C10" s="481" t="s">
        <x:v>101</x:v>
      </x:c>
      <x:c r="D10" s="481" t="s">
        <x:v>102</x:v>
      </x:c>
      <x:c r="E10" s="481" t="s">
        <x:v>103</x:v>
      </x:c>
      <x:c r="F10" s="481" t="s">
        <x:v>104</x:v>
      </x:c>
      <x:c r="G10" s="481" t="s">
        <x:v>105</x:v>
      </x:c>
      <x:c r="H10" s="481" t="s">
        <x:v>106</x:v>
      </x:c>
      <x:c r="I10" s="477"/>
    </x:row>
    <x:row r="11" ht="15" hidden="0" customHeight="1">
      <x:c r="A11" s="480" t="s">
        <x:v>107</x:v>
      </x:c>
      <x:c r="B11" s="481" t="s">
        <x:v>108</x:v>
      </x:c>
      <x:c r="C11" s="481" t="s">
        <x:v>109</x:v>
      </x:c>
      <x:c r="D11" s="481" t="s">
        <x:v>110</x:v>
      </x:c>
      <x:c r="E11" s="481" t="s">
        <x:v>111</x:v>
      </x:c>
      <x:c r="F11" s="481" t="s">
        <x:v>112</x:v>
      </x:c>
      <x:c r="G11" s="481" t="s">
        <x:v>113</x:v>
      </x:c>
      <x:c r="H11" s="481" t="s">
        <x:v>114</x:v>
      </x:c>
      <x:c r="I11" s="477"/>
    </x:row>
    <x:row r="12" ht="15" hidden="0" customHeight="1">
      <x:c r="A12" s="480" t="s">
        <x:v>115</x:v>
      </x:c>
      <x:c r="B12" s="481" t="s">
        <x:v>116</x:v>
      </x:c>
      <x:c r="C12" s="481" t="s">
        <x:v>117</x:v>
      </x:c>
      <x:c r="D12" s="481" t="s">
        <x:v>118</x:v>
      </x:c>
      <x:c r="E12" s="481" t="s">
        <x:v>119</x:v>
      </x:c>
      <x:c r="F12" s="481" t="s">
        <x:v>120</x:v>
      </x:c>
      <x:c r="G12" s="481" t="s">
        <x:v>121</x:v>
      </x:c>
      <x:c r="H12" s="481" t="s">
        <x:v>122</x:v>
      </x:c>
      <x:c r="I12" s="477"/>
    </x:row>
    <x:row r="13" ht="15" hidden="0" customHeight="1">
      <x:c r="A13" s="480" t="s">
        <x:v>123</x:v>
      </x:c>
      <x:c r="B13" s="481" t="s">
        <x:v>124</x:v>
      </x:c>
      <x:c r="C13" s="481" t="s">
        <x:v>125</x:v>
      </x:c>
      <x:c r="D13" s="481" t="s">
        <x:v>118</x:v>
      </x:c>
      <x:c r="E13" s="481" t="s">
        <x:v>126</x:v>
      </x:c>
      <x:c r="F13" s="481" t="s">
        <x:v>127</x:v>
      </x:c>
      <x:c r="G13" s="481" t="s">
        <x:v>128</x:v>
      </x:c>
      <x:c r="H13" s="481" t="s">
        <x:v>129</x:v>
      </x:c>
      <x:c r="I13" s="477"/>
    </x:row>
    <x:row r="14" ht="24" hidden="0" customHeight="1">
      <x:c r="A14" s="480" t="s">
        <x:v>130</x:v>
      </x:c>
      <x:c r="B14" s="481" t="s">
        <x:v>131</x:v>
      </x:c>
      <x:c r="C14" s="481" t="s">
        <x:v>132</x:v>
      </x:c>
      <x:c r="D14" s="481" t="s">
        <x:v>118</x:v>
      </x:c>
      <x:c r="E14" s="481" t="s">
        <x:v>133</x:v>
      </x:c>
      <x:c r="F14" s="481" t="s">
        <x:v>134</x:v>
      </x:c>
      <x:c r="G14" s="481" t="s">
        <x:v>135</x:v>
      </x:c>
      <x:c r="H14" s="481" t="s">
        <x:v>136</x:v>
      </x:c>
      <x:c r="I14" s="477"/>
    </x:row>
    <x:row r="15" ht="24" hidden="0" customHeight="1">
      <x:c r="A15" s="480" t="s">
        <x:v>137</x:v>
      </x:c>
      <x:c r="B15" s="481" t="s">
        <x:v>138</x:v>
      </x:c>
      <x:c r="C15" s="481" t="s">
        <x:v>139</x:v>
      </x:c>
      <x:c r="D15" s="481" t="s">
        <x:v>118</x:v>
      </x:c>
      <x:c r="E15" s="481" t="s">
        <x:v>140</x:v>
      </x:c>
      <x:c r="F15" s="481" t="s">
        <x:v>141</x:v>
      </x:c>
      <x:c r="G15" s="481" t="s">
        <x:v>142</x:v>
      </x:c>
      <x:c r="H15" s="481" t="s">
        <x:v>143</x:v>
      </x:c>
      <x:c r="I15" s="477"/>
    </x:row>
    <x:row r="16" ht="13.5" customHeight="1">
      <x:c r="A16" s="482"/>
      <x:c r="B16" s="380"/>
      <x:c r="C16" s="380"/>
      <x:c r="D16" s="380"/>
      <x:c r="E16" s="380"/>
      <x:c r="F16" s="380"/>
      <x:c r="G16" s="380"/>
      <x:c r="H16" s="380"/>
      <x:c r="I16" s="483"/>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85546875" defaultRowHeight="15"/>
  <x:cols>
    <x:col min="1" max="1" width="26" style="19" hidden="0" customWidth="1"/>
    <x:col min="2" max="3" width="18" style="19" customWidth="1"/>
    <x:col min="4" max="4" width="48" style="19" hidden="0" customWidth="1"/>
    <x:col min="5" max="5" width="38" style="19" hidden="0" customWidth="1"/>
    <x:col min="6" max="6" width="18" style="19" hidden="0" customWidth="1"/>
    <x:col min="7" max="9" width="13" style="19" customWidth="1"/>
    <x:col min="10" max="10" width="22" style="19" hidden="0" customWidth="1"/>
    <x:col min="11" max="11" width="60" style="19" hidden="0" customWidth="1"/>
    <x:col min="12" max="13" width="15" style="19" customWidth="1"/>
    <x:col min="14" max="14" width="70" style="19" hidden="0" customWidth="1"/>
    <x:col min="15" max="16" width="8.85546875" style="19" customWidth="1"/>
    <x:col min="17" max="16384" width="8.85546875" style="19" customWidth="0"/>
    <x:col min="2" max="2" width="22" hidden="0" customWidth="1"/>
    <x:col min="3" max="3" width="20" hidden="0" customWidth="1"/>
    <x:col min="7" max="7" width="13" hidden="0" customWidth="1"/>
    <x:col min="8" max="8" width="13" hidden="0" customWidth="1"/>
    <x:col min="9" max="9" width="14" hidden="0" customWidth="1"/>
    <x:col min="12" max="12" width="13" hidden="0" customWidth="1"/>
    <x:col min="13" max="13" width="16" hidden="0" customWidth="1"/>
  </x:cols>
  <x:sheetData>
    <x:row r="1" ht="18" hidden="0" customHeight="1">
      <x:c r="A1" s="486" t="s">
        <x:v>144</x:v>
      </x:c>
      <x:c r="B1" s="473"/>
      <x:c r="C1" s="473"/>
      <x:c r="D1" s="473"/>
      <x:c r="E1" s="473"/>
      <x:c r="F1" s="473"/>
      <x:c r="G1" s="473"/>
      <x:c r="H1" s="473"/>
      <x:c r="I1" s="473"/>
      <x:c r="J1" s="473"/>
      <x:c r="K1" s="473"/>
      <x:c r="L1" s="473"/>
      <x:c r="M1" s="473"/>
      <x:c r="N1" s="473"/>
      <x:c r="O1" s="474"/>
    </x:row>
    <x:row r="2" ht="15" hidden="0" customHeight="1">
      <x:c r="A2" s="559" t="s">
        <x:v>145</x:v>
      </x:c>
      <x:c r="B2" s="560"/>
      <x:c r="C2" s="560"/>
      <x:c r="D2" s="560"/>
      <x:c r="E2" s="560"/>
      <x:c r="F2" s="560"/>
      <x:c r="G2" s="560"/>
      <x:c r="H2" s="560"/>
      <x:c r="I2" s="560"/>
      <x:c r="J2" s="560"/>
      <x:c r="K2" s="560"/>
      <x:c r="L2" s="560"/>
      <x:c r="M2" s="560"/>
      <x:c r="N2" s="560"/>
      <x:c r="O2" s="477"/>
    </x:row>
    <x:row r="3" ht="32" hidden="0" customHeight="1">
      <x:c r="A3" s="490" t="s">
        <x:v>146</x:v>
      </x:c>
      <x:c r="B3" s="2746" t="s">
        <x:v>147</x:v>
      </x:c>
      <x:c r="C3" s="2746" t="s">
        <x:v>148</x:v>
      </x:c>
      <x:c r="D3" s="2746" t="s">
        <x:v>149</x:v>
      </x:c>
      <x:c r="E3" s="2746" t="s">
        <x:v>150</x:v>
      </x:c>
      <x:c r="F3" s="2746" t="s">
        <x:v>151</x:v>
      </x:c>
      <x:c r="G3" s="2746" t="s">
        <x:v>152</x:v>
      </x:c>
      <x:c r="H3" s="2746" t="s">
        <x:v>153</x:v>
      </x:c>
      <x:c r="I3" s="2746" t="s">
        <x:v>154</x:v>
      </x:c>
      <x:c r="J3" s="2746" t="s">
        <x:v>155</x:v>
      </x:c>
      <x:c r="K3" s="2746" t="s">
        <x:v>156</x:v>
      </x:c>
      <x:c r="L3" s="2746" t="s">
        <x:v>157</x:v>
      </x:c>
      <x:c r="M3" s="2746" t="s">
        <x:v>7</x:v>
      </x:c>
      <x:c r="N3" s="2746" t="s">
        <x:v>158</x:v>
      </x:c>
      <x:c r="O3" s="477"/>
    </x:row>
    <x:row r="4" ht="42" hidden="0" customHeight="1">
      <x:c r="A4" s="2750" t="s">
        <x:v>159</x:v>
      </x:c>
      <x:c r="B4" s="2751" t="s">
        <x:v>160</x:v>
      </x:c>
      <x:c r="C4" s="2751" t="s">
        <x:v>161</x:v>
      </x:c>
      <x:c r="D4" s="2761" t="s">
        <x:v>162</x:v>
      </x:c>
      <x:c r="E4" s="2761" t="s">
        <x:v>163</x:v>
      </x:c>
      <x:c r="F4" s="2751" t="s">
        <x:v>164</x:v>
      </x:c>
      <x:c r="G4" s="2764">
        <x:v>45474</x:v>
      </x:c>
      <x:c r="H4" s="2764">
        <x:v>45565</x:v>
      </x:c>
      <x:c r="I4" s="2753">
        <x:v>3</x:v>
      </x:c>
      <x:c r="J4" s="2751" t="s">
        <x:v>63</x:v>
      </x:c>
      <x:c r="K4" s="2761" t="s">
        <x:v>165</x:v>
      </x:c>
      <x:c r="L4" s="2764">
        <x:v>46235</x:v>
      </x:c>
      <x:c r="M4" s="2751" t="s">
        <x:v>166</x:v>
      </x:c>
      <x:c r="N4" s="2761" t="s">
        <x:v>167</x:v>
      </x:c>
      <x:c r="O4" s="477"/>
    </x:row>
    <x:row r="5" ht="42" hidden="0" customHeight="1">
      <x:c r="A5" s="2750" t="s">
        <x:v>159</x:v>
      </x:c>
      <x:c r="B5" s="2751" t="s">
        <x:v>168</x:v>
      </x:c>
      <x:c r="C5" s="2751" t="s">
        <x:v>169</x:v>
      </x:c>
      <x:c r="D5" s="2761" t="s">
        <x:v>162</x:v>
      </x:c>
      <x:c r="E5" s="2761" t="s">
        <x:v>163</x:v>
      </x:c>
      <x:c r="F5" s="2751" t="s">
        <x:v>164</x:v>
      </x:c>
      <x:c r="G5" s="2764">
        <x:v>45474</x:v>
      </x:c>
      <x:c r="H5" s="2764">
        <x:v>45565</x:v>
      </x:c>
      <x:c r="I5" s="2753">
        <x:v>3</x:v>
      </x:c>
      <x:c r="J5" s="2751" t="s">
        <x:v>63</x:v>
      </x:c>
      <x:c r="K5" s="2761" t="s">
        <x:v>165</x:v>
      </x:c>
      <x:c r="L5" s="2764">
        <x:v>46235</x:v>
      </x:c>
      <x:c r="M5" s="2751" t="s">
        <x:v>166</x:v>
      </x:c>
      <x:c r="N5" s="2761" t="s">
        <x:v>170</x:v>
      </x:c>
      <x:c r="O5" s="477"/>
    </x:row>
    <x:row r="6" ht="42" hidden="0" customHeight="1">
      <x:c r="A6" s="2750" t="s">
        <x:v>171</x:v>
      </x:c>
      <x:c r="B6" s="2751" t="s">
        <x:v>172</x:v>
      </x:c>
      <x:c r="C6" s="2751" t="s">
        <x:v>161</x:v>
      </x:c>
      <x:c r="D6" s="2761" t="s">
        <x:v>173</x:v>
      </x:c>
      <x:c r="E6" s="2761" t="s">
        <x:v>163</x:v>
      </x:c>
      <x:c r="F6" s="2751" t="s">
        <x:v>174</x:v>
      </x:c>
      <x:c r="G6" s="2764">
        <x:v>45566</x:v>
      </x:c>
      <x:c r="H6" s="2764">
        <x:v>45657</x:v>
      </x:c>
      <x:c r="I6" s="2753">
        <x:v>3</x:v>
      </x:c>
      <x:c r="J6" s="2751" t="s">
        <x:v>63</x:v>
      </x:c>
      <x:c r="K6" s="2761" t="s">
        <x:v>165</x:v>
      </x:c>
      <x:c r="L6" s="2764">
        <x:v>46235</x:v>
      </x:c>
      <x:c r="M6" s="2751" t="s">
        <x:v>166</x:v>
      </x:c>
      <x:c r="N6" s="2761" t="s">
        <x:v>167</x:v>
      </x:c>
      <x:c r="O6" s="477"/>
    </x:row>
    <x:row r="7" ht="42" hidden="0" customHeight="1">
      <x:c r="A7" s="2750" t="s">
        <x:v>171</x:v>
      </x:c>
      <x:c r="B7" s="2751" t="s">
        <x:v>175</x:v>
      </x:c>
      <x:c r="C7" s="2751" t="s">
        <x:v>169</x:v>
      </x:c>
      <x:c r="D7" s="2761" t="s">
        <x:v>173</x:v>
      </x:c>
      <x:c r="E7" s="2761" t="s">
        <x:v>163</x:v>
      </x:c>
      <x:c r="F7" s="2751" t="s">
        <x:v>174</x:v>
      </x:c>
      <x:c r="G7" s="2764">
        <x:v>45566</x:v>
      </x:c>
      <x:c r="H7" s="2764">
        <x:v>45657</x:v>
      </x:c>
      <x:c r="I7" s="2753">
        <x:v>3</x:v>
      </x:c>
      <x:c r="J7" s="2751" t="s">
        <x:v>63</x:v>
      </x:c>
      <x:c r="K7" s="2761" t="s">
        <x:v>165</x:v>
      </x:c>
      <x:c r="L7" s="2764">
        <x:v>46235</x:v>
      </x:c>
      <x:c r="M7" s="2751" t="s">
        <x:v>166</x:v>
      </x:c>
      <x:c r="N7" s="2761" t="s">
        <x:v>170</x:v>
      </x:c>
      <x:c r="O7" s="477"/>
    </x:row>
    <x:row r="8" ht="42" hidden="0" customHeight="1">
      <x:c r="A8" s="2750" t="s">
        <x:v>176</x:v>
      </x:c>
      <x:c r="B8" s="2751" t="s">
        <x:v>177</x:v>
      </x:c>
      <x:c r="C8" s="2751" t="s">
        <x:v>161</x:v>
      </x:c>
      <x:c r="D8" s="2761" t="s">
        <x:v>178</x:v>
      </x:c>
      <x:c r="E8" s="2761" t="s">
        <x:v>163</x:v>
      </x:c>
      <x:c r="F8" s="2751" t="s">
        <x:v>179</x:v>
      </x:c>
      <x:c r="G8" s="2764">
        <x:v>45658</x:v>
      </x:c>
      <x:c r="H8" s="2764">
        <x:v>45747</x:v>
      </x:c>
      <x:c r="I8" s="2753">
        <x:v>3</x:v>
      </x:c>
      <x:c r="J8" s="2751" t="s">
        <x:v>63</x:v>
      </x:c>
      <x:c r="K8" s="2761" t="s">
        <x:v>165</x:v>
      </x:c>
      <x:c r="L8" s="2764">
        <x:v>46235</x:v>
      </x:c>
      <x:c r="M8" s="2751" t="s">
        <x:v>166</x:v>
      </x:c>
      <x:c r="N8" s="2761" t="s">
        <x:v>180</x:v>
      </x:c>
      <x:c r="O8" s="477"/>
    </x:row>
    <x:row r="9" ht="42" hidden="0" customHeight="1">
      <x:c r="A9" s="2750" t="s">
        <x:v>176</x:v>
      </x:c>
      <x:c r="B9" s="2751" t="s">
        <x:v>181</x:v>
      </x:c>
      <x:c r="C9" s="2751" t="s">
        <x:v>169</x:v>
      </x:c>
      <x:c r="D9" s="2761" t="s">
        <x:v>178</x:v>
      </x:c>
      <x:c r="E9" s="2761" t="s">
        <x:v>163</x:v>
      </x:c>
      <x:c r="F9" s="2751" t="s">
        <x:v>179</x:v>
      </x:c>
      <x:c r="G9" s="2764">
        <x:v>45658</x:v>
      </x:c>
      <x:c r="H9" s="2764">
        <x:v>45747</x:v>
      </x:c>
      <x:c r="I9" s="2753">
        <x:v>3</x:v>
      </x:c>
      <x:c r="J9" s="2751" t="s">
        <x:v>63</x:v>
      </x:c>
      <x:c r="K9" s="2761" t="s">
        <x:v>165</x:v>
      </x:c>
      <x:c r="L9" s="2764">
        <x:v>46235</x:v>
      </x:c>
      <x:c r="M9" s="2751" t="s">
        <x:v>166</x:v>
      </x:c>
      <x:c r="N9" s="2761" t="s">
        <x:v>170</x:v>
      </x:c>
      <x:c r="O9" s="477"/>
    </x:row>
    <x:row r="10" ht="42" hidden="0" customHeight="1">
      <x:c r="A10" s="2750" t="s">
        <x:v>182</x:v>
      </x:c>
      <x:c r="B10" s="2751" t="s">
        <x:v>183</x:v>
      </x:c>
      <x:c r="C10" s="2751" t="s">
        <x:v>161</x:v>
      </x:c>
      <x:c r="D10" s="2761" t="s">
        <x:v>184</x:v>
      </x:c>
      <x:c r="E10" s="2761" t="s">
        <x:v>163</x:v>
      </x:c>
      <x:c r="F10" s="2751" t="s">
        <x:v>185</x:v>
      </x:c>
      <x:c r="G10" s="2764">
        <x:v>45748</x:v>
      </x:c>
      <x:c r="H10" s="2764">
        <x:v>45838</x:v>
      </x:c>
      <x:c r="I10" s="2753">
        <x:v>3</x:v>
      </x:c>
      <x:c r="J10" s="2751" t="s">
        <x:v>63</x:v>
      </x:c>
      <x:c r="K10" s="2761" t="s">
        <x:v>165</x:v>
      </x:c>
      <x:c r="L10" s="2764">
        <x:v>46235</x:v>
      </x:c>
      <x:c r="M10" s="2751" t="s">
        <x:v>166</x:v>
      </x:c>
      <x:c r="N10" s="2761" t="s">
        <x:v>180</x:v>
      </x:c>
      <x:c r="O10" s="477"/>
    </x:row>
    <x:row r="11" ht="42" hidden="0" customHeight="1">
      <x:c r="A11" s="2750" t="s">
        <x:v>182</x:v>
      </x:c>
      <x:c r="B11" s="2751" t="s">
        <x:v>186</x:v>
      </x:c>
      <x:c r="C11" s="2751" t="s">
        <x:v>169</x:v>
      </x:c>
      <x:c r="D11" s="2761" t="s">
        <x:v>184</x:v>
      </x:c>
      <x:c r="E11" s="2761" t="s">
        <x:v>163</x:v>
      </x:c>
      <x:c r="F11" s="2751" t="s">
        <x:v>185</x:v>
      </x:c>
      <x:c r="G11" s="2764">
        <x:v>45748</x:v>
      </x:c>
      <x:c r="H11" s="2764">
        <x:v>45838</x:v>
      </x:c>
      <x:c r="I11" s="2753">
        <x:v>3</x:v>
      </x:c>
      <x:c r="J11" s="2751" t="s">
        <x:v>63</x:v>
      </x:c>
      <x:c r="K11" s="2761" t="s">
        <x:v>165</x:v>
      </x:c>
      <x:c r="L11" s="2764">
        <x:v>46235</x:v>
      </x:c>
      <x:c r="M11" s="2751" t="s">
        <x:v>166</x:v>
      </x:c>
      <x:c r="N11" s="2761" t="s">
        <x:v>170</x:v>
      </x:c>
      <x:c r="O11" s="477"/>
    </x:row>
    <x:row r="12" ht="42" hidden="0" customHeight="1">
      <x:c r="A12" s="2750" t="s">
        <x:v>187</x:v>
      </x:c>
      <x:c r="B12" s="2751" t="s">
        <x:v>188</x:v>
      </x:c>
      <x:c r="C12" s="2751" t="s">
        <x:v>161</x:v>
      </x:c>
      <x:c r="D12" s="2761" t="s">
        <x:v>189</x:v>
      </x:c>
      <x:c r="E12" s="2761" t="s">
        <x:v>163</x:v>
      </x:c>
      <x:c r="F12" s="2751" t="s">
        <x:v>190</x:v>
      </x:c>
      <x:c r="G12" s="2764">
        <x:v>45962</x:v>
      </x:c>
      <x:c r="H12" s="2764">
        <x:v>46022</x:v>
      </x:c>
      <x:c r="I12" s="2753">
        <x:v>2</x:v>
      </x:c>
      <x:c r="J12" s="2751" t="s">
        <x:v>191</x:v>
      </x:c>
      <x:c r="K12" s="2761" t="s">
        <x:v>165</x:v>
      </x:c>
      <x:c r="L12" s="2764">
        <x:v>46235</x:v>
      </x:c>
      <x:c r="M12" s="2751" t="s">
        <x:v>166</x:v>
      </x:c>
      <x:c r="N12" s="2761" t="s">
        <x:v>192</x:v>
      </x:c>
      <x:c r="O12" s="477"/>
    </x:row>
    <x:row r="13" ht="42" hidden="0" customHeight="1">
      <x:c r="A13" s="2750" t="s">
        <x:v>187</x:v>
      </x:c>
      <x:c r="B13" s="2751" t="s">
        <x:v>193</x:v>
      </x:c>
      <x:c r="C13" s="2751" t="s">
        <x:v>169</x:v>
      </x:c>
      <x:c r="D13" s="2761" t="s">
        <x:v>189</x:v>
      </x:c>
      <x:c r="E13" s="2761" t="s">
        <x:v>163</x:v>
      </x:c>
      <x:c r="F13" s="2751" t="s">
        <x:v>190</x:v>
      </x:c>
      <x:c r="G13" s="2764">
        <x:v>45962</x:v>
      </x:c>
      <x:c r="H13" s="2764">
        <x:v>46022</x:v>
      </x:c>
      <x:c r="I13" s="2753">
        <x:v>2</x:v>
      </x:c>
      <x:c r="J13" s="2751" t="s">
        <x:v>191</x:v>
      </x:c>
      <x:c r="K13" s="2761" t="s">
        <x:v>165</x:v>
      </x:c>
      <x:c r="L13" s="2764">
        <x:v>46235</x:v>
      </x:c>
      <x:c r="M13" s="2751" t="s">
        <x:v>166</x:v>
      </x:c>
      <x:c r="N13" s="2761" t="s">
        <x:v>194</x:v>
      </x:c>
      <x:c r="O13" s="477"/>
    </x:row>
    <x:row r="14" ht="42" hidden="0" customHeight="1">
      <x:c r="A14" s="2750" t="s">
        <x:v>187</x:v>
      </x:c>
      <x:c r="B14" s="2751" t="s">
        <x:v>195</x:v>
      </x:c>
      <x:c r="C14" s="2751" t="s">
        <x:v>196</x:v>
      </x:c>
      <x:c r="D14" s="2761" t="s">
        <x:v>189</x:v>
      </x:c>
      <x:c r="E14" s="2761" t="s">
        <x:v>163</x:v>
      </x:c>
      <x:c r="F14" s="2751" t="s">
        <x:v>190</x:v>
      </x:c>
      <x:c r="G14" s="2764">
        <x:v>45962</x:v>
      </x:c>
      <x:c r="H14" s="2764">
        <x:v>46022</x:v>
      </x:c>
      <x:c r="I14" s="2753">
        <x:v>2</x:v>
      </x:c>
      <x:c r="J14" s="2751" t="s">
        <x:v>191</x:v>
      </x:c>
      <x:c r="K14" s="2761" t="s">
        <x:v>197</x:v>
      </x:c>
      <x:c r="L14" s="2764">
        <x:v>46235</x:v>
      </x:c>
      <x:c r="M14" s="2751" t="s">
        <x:v>166</x:v>
      </x:c>
      <x:c r="N14" s="2761" t="s">
        <x:v>198</x:v>
      </x:c>
      <x:c r="O14" s="477"/>
    </x:row>
    <x:row r="15" ht="42" hidden="0" customHeight="1">
      <x:c r="A15" s="2750" t="s">
        <x:v>199</x:v>
      </x:c>
      <x:c r="B15" s="2751" t="s">
        <x:v>200</x:v>
      </x:c>
      <x:c r="C15" s="2751" t="s">
        <x:v>201</x:v>
      </x:c>
      <x:c r="D15" s="2761" t="s">
        <x:v>202</x:v>
      </x:c>
      <x:c r="E15" s="2761" t="s">
        <x:v>163</x:v>
      </x:c>
      <x:c r="F15" s="2751" t="s">
        <x:v>203</x:v>
      </x:c>
      <x:c r="G15" s="2764">
        <x:v>45839</x:v>
      </x:c>
      <x:c r="H15" s="2764">
        <x:v>45930</x:v>
      </x:c>
      <x:c r="I15" s="2753">
        <x:v>3</x:v>
      </x:c>
      <x:c r="J15" s="2751" t="s">
        <x:v>191</x:v>
      </x:c>
      <x:c r="K15" s="2761" t="s">
        <x:v>165</x:v>
      </x:c>
      <x:c r="L15" s="2764">
        <x:v>46235</x:v>
      </x:c>
      <x:c r="M15" s="2751" t="s">
        <x:v>204</x:v>
      </x:c>
      <x:c r="N15" s="2761" t="s">
        <x:v>205</x:v>
      </x:c>
      <x:c r="O15" s="477"/>
    </x:row>
    <x:row r="16" ht="42" hidden="0" customHeight="1">
      <x:c r="A16" s="2752" t="str">
        <x:v>RPT-SPR-FY2024-25-Q1</x:v>
      </x:c>
      <x:c r="B16" s="2753" t="str">
        <x:v>SRC-CMP-2425-Q1</x:v>
      </x:c>
      <x:c r="C16" s="2753" t="str">
        <x:v>Complaints</x:v>
      </x:c>
      <x:c r="D16" s="2762" t="str">
        <x:v>Sector Performance Report – Quarter 1 (July–September 2024)</x:v>
      </x:c>
      <x:c r="E16" s="2762" t="str">
        <x:v>Aged Care Quality and Safety Commission</x:v>
      </x:c>
      <x:c r="F16" s="2753" t="str">
        <x:v>Q1 2024-25</x:v>
      </x:c>
      <x:c r="G16" s="2764" t="n">
        <x:v>45474</x:v>
      </x:c>
      <x:c r="H16" s="2764" t="n">
        <x:v>45565</x:v>
      </x:c>
      <x:c r="I16" s="2753" t="n">
        <x:v>3</x:v>
      </x:c>
      <x:c r="J16" s="2753" t="str">
        <x:v>Legacy</x:v>
      </x:c>
      <x:c r="K16" s="2762" t="str">
        <x:v>https://www.agedcarequality.gov.au/news-publications/reports/sector-performance</x:v>
      </x:c>
      <x:c r="L16" s="2764" t="n">
        <x:v>46241</x:v>
      </x:c>
      <x:c r="M16" s="2753" t="str">
        <x:v>Located</x:v>
      </x:c>
      <x:c r="N16" s="2762" t="str">
        <x:v>Full-quarter legacy complaints data. Complaint totals, rates and issue breakdowns use the legacy taxonomy. One complaint may contain multiple issues; compare only within the FY2024-25 legacy series.</x:v>
      </x:c>
      <x:c r="O16" s="477"/>
    </x:row>
    <x:row r="17" ht="42" hidden="0" customHeight="1">
      <x:c r="A17" s="2752" t="str">
        <x:v>RPT-SPR-FY2024-25-Q2</x:v>
      </x:c>
      <x:c r="B17" s="2753" t="str">
        <x:v>SRC-CMP-2425-Q2</x:v>
      </x:c>
      <x:c r="C17" s="2753" t="str">
        <x:v>Complaints</x:v>
      </x:c>
      <x:c r="D17" s="2762" t="str">
        <x:v>Sector Performance Report – Quarter 2 (October–December 2024)</x:v>
      </x:c>
      <x:c r="E17" s="2762" t="str">
        <x:v>Aged Care Quality and Safety Commission</x:v>
      </x:c>
      <x:c r="F17" s="2753" t="str">
        <x:v>Q2 2024-25</x:v>
      </x:c>
      <x:c r="G17" s="2764" t="n">
        <x:v>45566</x:v>
      </x:c>
      <x:c r="H17" s="2764" t="n">
        <x:v>45657</x:v>
      </x:c>
      <x:c r="I17" s="2753" t="n">
        <x:v>3</x:v>
      </x:c>
      <x:c r="J17" s="2753" t="str">
        <x:v>Legacy</x:v>
      </x:c>
      <x:c r="K17" s="2762" t="str">
        <x:v>https://www.agedcarequality.gov.au/news-publications/reports/sector-performance</x:v>
      </x:c>
      <x:c r="L17" s="2764" t="n">
        <x:v>46241</x:v>
      </x:c>
      <x:c r="M17" s="2753" t="str">
        <x:v>Located</x:v>
      </x:c>
      <x:c r="N17" s="2762" t="str">
        <x:v>Full-quarter legacy complaints data. Complaint totals, rates and issue breakdowns use the legacy taxonomy. One complaint may contain multiple issues; compare only within the FY2024-25 legacy series.</x:v>
      </x:c>
      <x:c r="O17" s="477"/>
    </x:row>
    <x:row r="18" ht="42" hidden="0" customHeight="1">
      <x:c r="A18" s="2752" t="str">
        <x:v>RPT-SPR-FY2024-25-Q3</x:v>
      </x:c>
      <x:c r="B18" s="2753" t="str">
        <x:v>SRC-CMP-2425-Q3</x:v>
      </x:c>
      <x:c r="C18" s="2753" t="str">
        <x:v>Complaints</x:v>
      </x:c>
      <x:c r="D18" s="2762" t="str">
        <x:v>Sector Performance Report – Quarter 3 (January–March 2025)</x:v>
      </x:c>
      <x:c r="E18" s="2762" t="str">
        <x:v>Aged Care Quality and Safety Commission</x:v>
      </x:c>
      <x:c r="F18" s="2753" t="str">
        <x:v>Q3 2024-25</x:v>
      </x:c>
      <x:c r="G18" s="2764" t="n">
        <x:v>45658</x:v>
      </x:c>
      <x:c r="H18" s="2764" t="n">
        <x:v>45747</x:v>
      </x:c>
      <x:c r="I18" s="2753" t="n">
        <x:v>3</x:v>
      </x:c>
      <x:c r="J18" s="2753" t="str">
        <x:v>Legacy</x:v>
      </x:c>
      <x:c r="K18" s="2762" t="str">
        <x:v>https://www.agedcarequality.gov.au/news-publications/reports/sector-performance</x:v>
      </x:c>
      <x:c r="L18" s="2764" t="n">
        <x:v>46241</x:v>
      </x:c>
      <x:c r="M18" s="2753" t="str">
        <x:v>Located</x:v>
      </x:c>
      <x:c r="N18" s="2762" t="str">
        <x:v>Full-quarter legacy complaints data. Complaint totals, rates and issue breakdowns use the legacy taxonomy. One complaint may contain multiple issues; compare only within the FY2024-25 legacy series.</x:v>
      </x:c>
      <x:c r="O18" s="477"/>
    </x:row>
    <x:row r="19" ht="42" hidden="0" customHeight="1">
      <x:c r="A19" s="2754" t="str">
        <x:v>RPT-SPR-FY2024-25-Q4</x:v>
      </x:c>
      <x:c r="B19" s="2755" t="str">
        <x:v>SRC-CMP-2425-Q4</x:v>
      </x:c>
      <x:c r="C19" s="2755" t="str">
        <x:v>Complaints</x:v>
      </x:c>
      <x:c r="D19" s="2763" t="str">
        <x:v>Sector Performance Report – Quarter 4 (April–June 2025)</x:v>
      </x:c>
      <x:c r="E19" s="2763" t="str">
        <x:v>Aged Care Quality and Safety Commission</x:v>
      </x:c>
      <x:c r="F19" s="2755" t="str">
        <x:v>Q4 2024-25</x:v>
      </x:c>
      <x:c r="G19" s="2765" t="n">
        <x:v>45748</x:v>
      </x:c>
      <x:c r="H19" s="2765" t="n">
        <x:v>45838</x:v>
      </x:c>
      <x:c r="I19" s="2755" t="n">
        <x:v>3</x:v>
      </x:c>
      <x:c r="J19" s="2755" t="str">
        <x:v>Legacy</x:v>
      </x:c>
      <x:c r="K19" s="2763" t="str">
        <x:v>https://www.agedcarequality.gov.au/news-publications/reports/sector-performance</x:v>
      </x:c>
      <x:c r="L19" s="2765" t="n">
        <x:v>46241</x:v>
      </x:c>
      <x:c r="M19" s="2755" t="str">
        <x:v>Located</x:v>
      </x:c>
      <x:c r="N19" s="2763" t="str">
        <x:v>Full-quarter legacy complaints data. Complaint totals, rates and issue breakdowns use the legacy taxonomy. One complaint may contain multiple issues; compare only within the FY2024-25 legacy series.</x:v>
      </x:c>
      <x:c r="O19" s="483"/>
    </x:row>
  </x:sheetData>
  <x:mergeCells>
    <x:mergeCell ref="A1:N1"/>
    <x:mergeCell ref="A2:N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85546875" defaultRowHeight="41.25"/>
  <x:cols>
    <x:col min="1" max="1" width="20" style="34" hidden="0" customWidth="1"/>
    <x:col min="2" max="2" width="32" style="34" hidden="0" customWidth="1"/>
    <x:col min="3" max="3" width="62" style="34" hidden="0" customWidth="1"/>
    <x:col min="4" max="4" width="18" style="34" hidden="0" customWidth="1"/>
    <x:col min="5" max="5" width="20" style="34" hidden="0" customWidth="1"/>
    <x:col min="6" max="6" width="34" style="34" hidden="0" customWidth="1"/>
    <x:col min="7" max="7" width="14" style="34" hidden="0" customWidth="1"/>
    <x:col min="8" max="9" width="25" style="34" customWidth="1"/>
    <x:col min="10" max="11" width="8.85546875" style="34" customWidth="1"/>
    <x:col min="12" max="16384" width="8.85546875" style="34" customWidth="0"/>
    <x:col min="8" max="8" width="24" hidden="0" customWidth="1"/>
    <x:col min="9" max="9" width="62" hidden="0" customWidth="1"/>
  </x:cols>
  <x:sheetData>
    <x:row r="1" ht="41.25" hidden="0" customHeight="1">
      <x:c r="A1" s="486" t="s">
        <x:v>206</x:v>
      </x:c>
      <x:c r="B1" s="473"/>
      <x:c r="C1" s="473"/>
      <x:c r="D1" s="473"/>
      <x:c r="E1" s="473"/>
      <x:c r="F1" s="473"/>
      <x:c r="G1" s="473"/>
      <x:c r="H1" s="473"/>
      <x:c r="I1" s="473"/>
      <x:c r="J1" s="474"/>
    </x:row>
    <x:row r="2" ht="41.25" hidden="0" customHeight="1">
      <x:c r="A2" s="559" t="s">
        <x:v>207</x:v>
      </x:c>
      <x:c r="B2" s="560"/>
      <x:c r="C2" s="560"/>
      <x:c r="D2" s="560"/>
      <x:c r="E2" s="560"/>
      <x:c r="F2" s="560"/>
      <x:c r="G2" s="560"/>
      <x:c r="H2" s="560"/>
      <x:c r="I2" s="560"/>
      <x:c r="J2" s="477"/>
    </x:row>
    <x:row r="3" ht="34" hidden="0" customHeight="1">
      <x:c r="A3" s="490" t="s">
        <x:v>208</x:v>
      </x:c>
      <x:c r="B3" s="2746" t="s">
        <x:v>209</x:v>
      </x:c>
      <x:c r="C3" s="2746" t="s">
        <x:v>210</x:v>
      </x:c>
      <x:c r="D3" s="2746" t="s">
        <x:v>211</x:v>
      </x:c>
      <x:c r="E3" s="2746" t="s">
        <x:v>212</x:v>
      </x:c>
      <x:c r="F3" s="2746" t="s">
        <x:v>213</x:v>
      </x:c>
      <x:c r="G3" s="2746" t="s">
        <x:v>214</x:v>
      </x:c>
      <x:c r="H3" s="2746" t="s">
        <x:v>215</x:v>
      </x:c>
      <x:c r="I3" s="2746" t="s">
        <x:v>216</x:v>
      </x:c>
      <x:c r="J3" s="477"/>
    </x:row>
    <x:row r="4" ht="41.25" hidden="0" customHeight="1">
      <x:c r="A4" s="2750" t="s">
        <x:v>217</x:v>
      </x:c>
      <x:c r="B4" s="2751" t="s">
        <x:v>218</x:v>
      </x:c>
      <x:c r="C4" s="2761" t="s">
        <x:v>219</x:v>
      </x:c>
      <x:c r="D4" s="2761" t="s">
        <x:v>220</x:v>
      </x:c>
      <x:c r="E4" s="2761" t="s">
        <x:v>221</x:v>
      </x:c>
      <x:c r="F4" s="2761" t="s">
        <x:v>222</x:v>
      </x:c>
      <x:c r="G4" s="2761" t="s">
        <x:v>223</x:v>
      </x:c>
      <x:c r="H4" s="2761" t="s">
        <x:v>224</x:v>
      </x:c>
      <x:c r="I4" s="2761" t="s">
        <x:v>225</x:v>
      </x:c>
      <x:c r="J4" s="477"/>
    </x:row>
    <x:row r="5" ht="41.25" hidden="0" customHeight="1">
      <x:c r="A5" s="2750" t="s">
        <x:v>217</x:v>
      </x:c>
      <x:c r="B5" s="2751" t="s">
        <x:v>147</x:v>
      </x:c>
      <x:c r="C5" s="2761" t="s">
        <x:v>226</x:v>
      </x:c>
      <x:c r="D5" s="2761" t="s">
        <x:v>220</x:v>
      </x:c>
      <x:c r="E5" s="2761" t="s">
        <x:v>221</x:v>
      </x:c>
      <x:c r="F5" s="2761" t="s">
        <x:v>195</x:v>
      </x:c>
      <x:c r="G5" s="2761" t="s">
        <x:v>223</x:v>
      </x:c>
      <x:c r="H5" s="2761" t="s">
        <x:v>224</x:v>
      </x:c>
      <x:c r="I5" s="2761" t="s">
        <x:v>227</x:v>
      </x:c>
      <x:c r="J5" s="477"/>
    </x:row>
    <x:row r="6" ht="41.25" hidden="0" customHeight="1">
      <x:c r="A6" s="2750" t="s">
        <x:v>217</x:v>
      </x:c>
      <x:c r="B6" s="2751" t="s">
        <x:v>146</x:v>
      </x:c>
      <x:c r="C6" s="2761" t="s">
        <x:v>228</x:v>
      </x:c>
      <x:c r="D6" s="2761" t="s">
        <x:v>220</x:v>
      </x:c>
      <x:c r="E6" s="2761" t="s">
        <x:v>221</x:v>
      </x:c>
      <x:c r="F6" s="2761" t="s">
        <x:v>229</x:v>
      </x:c>
      <x:c r="G6" s="2761" t="s">
        <x:v>223</x:v>
      </x:c>
      <x:c r="H6" s="2761" t="s">
        <x:v>224</x:v>
      </x:c>
      <x:c r="I6" s="2761" t="s">
        <x:v>230</x:v>
      </x:c>
      <x:c r="J6" s="477"/>
    </x:row>
    <x:row r="7" ht="41.25" hidden="0" customHeight="1">
      <x:c r="A7" s="2750" t="s">
        <x:v>217</x:v>
      </x:c>
      <x:c r="B7" s="2751" t="s">
        <x:v>231</x:v>
      </x:c>
      <x:c r="C7" s="2761" t="s">
        <x:v>232</x:v>
      </x:c>
      <x:c r="D7" s="2761" t="s">
        <x:v>220</x:v>
      </x:c>
      <x:c r="E7" s="2761" t="s">
        <x:v>233</x:v>
      </x:c>
      <x:c r="F7" s="2761" t="s">
        <x:v>234</x:v>
      </x:c>
      <x:c r="G7" s="2761" t="s">
        <x:v>223</x:v>
      </x:c>
      <x:c r="H7" s="2761" t="s">
        <x:v>224</x:v>
      </x:c>
      <x:c r="I7" s="2761" t="s">
        <x:v>235</x:v>
      </x:c>
      <x:c r="J7" s="477"/>
    </x:row>
    <x:row r="8" ht="41.25" hidden="0" customHeight="1">
      <x:c r="A8" s="2750" t="s">
        <x:v>217</x:v>
      </x:c>
      <x:c r="B8" s="2751" t="s">
        <x:v>56</x:v>
      </x:c>
      <x:c r="C8" s="2761" t="s">
        <x:v>236</x:v>
      </x:c>
      <x:c r="D8" s="2761" t="s">
        <x:v>220</x:v>
      </x:c>
      <x:c r="E8" s="2761" t="s">
        <x:v>237</x:v>
      </x:c>
      <x:c r="F8" s="2761" t="s">
        <x:v>64</x:v>
      </x:c>
      <x:c r="G8" s="2761" t="s">
        <x:v>238</x:v>
      </x:c>
      <x:c r="H8" s="2761" t="s">
        <x:v>224</x:v>
      </x:c>
      <x:c r="I8" s="2761" t="s">
        <x:v>239</x:v>
      </x:c>
      <x:c r="J8" s="477"/>
    </x:row>
    <x:row r="9" ht="41.25" hidden="0" customHeight="1">
      <x:c r="A9" s="2750" t="s">
        <x:v>240</x:v>
      </x:c>
      <x:c r="B9" s="2751" t="s">
        <x:v>152</x:v>
      </x:c>
      <x:c r="C9" s="2761" t="s">
        <x:v>241</x:v>
      </x:c>
      <x:c r="D9" s="2761" t="s">
        <x:v>242</x:v>
      </x:c>
      <x:c r="E9" s="2761" t="s">
        <x:v>243</x:v>
      </x:c>
      <x:c r="F9" s="2761" t="s">
        <x:v>244</x:v>
      </x:c>
      <x:c r="G9" s="2761" t="s">
        <x:v>223</x:v>
      </x:c>
      <x:c r="H9" s="2761" t="s">
        <x:v>224</x:v>
      </x:c>
      <x:c r="I9" s="2761" t="s">
        <x:v>245</x:v>
      </x:c>
      <x:c r="J9" s="477"/>
    </x:row>
    <x:row r="10" ht="41.25" hidden="0" customHeight="1">
      <x:c r="A10" s="2750" t="s">
        <x:v>240</x:v>
      </x:c>
      <x:c r="B10" s="2751" t="s">
        <x:v>153</x:v>
      </x:c>
      <x:c r="C10" s="2761" t="s">
        <x:v>246</x:v>
      </x:c>
      <x:c r="D10" s="2761" t="s">
        <x:v>242</x:v>
      </x:c>
      <x:c r="E10" s="2761" t="s">
        <x:v>243</x:v>
      </x:c>
      <x:c r="F10" s="2761" t="s">
        <x:v>247</x:v>
      </x:c>
      <x:c r="G10" s="2761" t="s">
        <x:v>223</x:v>
      </x:c>
      <x:c r="H10" s="2761" t="s">
        <x:v>224</x:v>
      </x:c>
      <x:c r="I10" s="2761" t="s">
        <x:v>248</x:v>
      </x:c>
      <x:c r="J10" s="477"/>
    </x:row>
    <x:row r="11" ht="41.25" hidden="0" customHeight="1">
      <x:c r="A11" s="2750" t="s">
        <x:v>240</x:v>
      </x:c>
      <x:c r="B11" s="2751" t="s">
        <x:v>249</x:v>
      </x:c>
      <x:c r="C11" s="2761" t="s">
        <x:v>250</x:v>
      </x:c>
      <x:c r="D11" s="2761" t="s">
        <x:v>220</x:v>
      </x:c>
      <x:c r="E11" s="2761" t="s">
        <x:v>251</x:v>
      </x:c>
      <x:c r="F11" s="2761" t="s">
        <x:v>252</x:v>
      </x:c>
      <x:c r="G11" s="2761" t="s">
        <x:v>223</x:v>
      </x:c>
      <x:c r="H11" s="2761" t="s">
        <x:v>224</x:v>
      </x:c>
      <x:c r="I11" s="2761" t="s">
        <x:v>253</x:v>
      </x:c>
      <x:c r="J11" s="477"/>
    </x:row>
    <x:row r="12" ht="41.25" hidden="0" customHeight="1">
      <x:c r="A12" s="2750" t="s">
        <x:v>240</x:v>
      </x:c>
      <x:c r="B12" s="2751" t="s">
        <x:v>254</x:v>
      </x:c>
      <x:c r="C12" s="2761" t="s">
        <x:v>255</x:v>
      </x:c>
      <x:c r="D12" s="2761" t="s">
        <x:v>220</x:v>
      </x:c>
      <x:c r="E12" s="2761" t="s">
        <x:v>256</x:v>
      </x:c>
      <x:c r="F12" s="2761" t="s">
        <x:v>257</x:v>
      </x:c>
      <x:c r="G12" s="2761" t="s">
        <x:v>223</x:v>
      </x:c>
      <x:c r="H12" s="2761" t="s">
        <x:v>224</x:v>
      </x:c>
      <x:c r="I12" s="2761" t="s">
        <x:v>258</x:v>
      </x:c>
      <x:c r="J12" s="477"/>
    </x:row>
    <x:row r="13" ht="41.25" hidden="0" customHeight="1">
      <x:c r="A13" s="2750" t="s">
        <x:v>240</x:v>
      </x:c>
      <x:c r="B13" s="2751" t="s">
        <x:v>154</x:v>
      </x:c>
      <x:c r="C13" s="2761" t="s">
        <x:v>259</x:v>
      </x:c>
      <x:c r="D13" s="2761" t="s">
        <x:v>260</x:v>
      </x:c>
      <x:c r="E13" s="2761" t="s">
        <x:v>261</x:v>
      </x:c>
      <x:c r="F13" s="2761" t="s">
        <x:v>262</x:v>
      </x:c>
      <x:c r="G13" s="2761" t="s">
        <x:v>223</x:v>
      </x:c>
      <x:c r="H13" s="2761" t="s">
        <x:v>224</x:v>
      </x:c>
      <x:c r="I13" s="2761" t="s">
        <x:v>263</x:v>
      </x:c>
      <x:c r="J13" s="477"/>
    </x:row>
    <x:row r="14" ht="41.25" hidden="0" customHeight="1">
      <x:c r="A14" s="2750" t="s">
        <x:v>264</x:v>
      </x:c>
      <x:c r="B14" s="2751" t="s">
        <x:v>155</x:v>
      </x:c>
      <x:c r="C14" s="2761" t="s">
        <x:v>265</x:v>
      </x:c>
      <x:c r="D14" s="2761" t="s">
        <x:v>220</x:v>
      </x:c>
      <x:c r="E14" s="2761" t="s">
        <x:v>266</x:v>
      </x:c>
      <x:c r="F14" s="2761" t="s">
        <x:v>267</x:v>
      </x:c>
      <x:c r="G14" s="2761" t="s">
        <x:v>223</x:v>
      </x:c>
      <x:c r="H14" s="2761" t="s">
        <x:v>224</x:v>
      </x:c>
      <x:c r="I14" s="2761" t="s">
        <x:v>268</x:v>
      </x:c>
      <x:c r="J14" s="477"/>
    </x:row>
    <x:row r="15" ht="41.25" hidden="0" customHeight="1">
      <x:c r="A15" s="2750" t="s">
        <x:v>264</x:v>
      </x:c>
      <x:c r="B15" s="2751" t="s">
        <x:v>269</x:v>
      </x:c>
      <x:c r="C15" s="2761" t="s">
        <x:v>270</x:v>
      </x:c>
      <x:c r="D15" s="2761" t="s">
        <x:v>220</x:v>
      </x:c>
      <x:c r="E15" s="2761" t="s">
        <x:v>271</x:v>
      </x:c>
      <x:c r="F15" s="2761" t="s">
        <x:v>272</x:v>
      </x:c>
      <x:c r="G15" s="2761" t="s">
        <x:v>238</x:v>
      </x:c>
      <x:c r="H15" s="2761" t="s">
        <x:v>224</x:v>
      </x:c>
      <x:c r="I15" s="2761" t="s">
        <x:v>273</x:v>
      </x:c>
      <x:c r="J15" s="477"/>
    </x:row>
    <x:row r="16" ht="41.25" hidden="0" customHeight="1">
      <x:c r="A16" s="2750" t="s">
        <x:v>264</x:v>
      </x:c>
      <x:c r="B16" s="2751" t="s">
        <x:v>274</x:v>
      </x:c>
      <x:c r="C16" s="2761" t="s">
        <x:v>275</x:v>
      </x:c>
      <x:c r="D16" s="2761" t="s">
        <x:v>220</x:v>
      </x:c>
      <x:c r="E16" s="2761" t="s">
        <x:v>271</x:v>
      </x:c>
      <x:c r="F16" s="2761" t="s">
        <x:v>276</x:v>
      </x:c>
      <x:c r="G16" s="2761" t="s">
        <x:v>223</x:v>
      </x:c>
      <x:c r="H16" s="2761" t="s">
        <x:v>224</x:v>
      </x:c>
      <x:c r="I16" s="2761" t="s">
        <x:v>277</x:v>
      </x:c>
      <x:c r="J16" s="477"/>
    </x:row>
    <x:row r="17" ht="41.25" hidden="0" customHeight="1">
      <x:c r="A17" s="2750" t="s">
        <x:v>264</x:v>
      </x:c>
      <x:c r="B17" s="2751" t="s">
        <x:v>278</x:v>
      </x:c>
      <x:c r="C17" s="2761" t="s">
        <x:v>279</x:v>
      </x:c>
      <x:c r="D17" s="2761" t="s">
        <x:v>220</x:v>
      </x:c>
      <x:c r="E17" s="2761" t="s">
        <x:v>266</x:v>
      </x:c>
      <x:c r="F17" s="2761" t="s">
        <x:v>280</x:v>
      </x:c>
      <x:c r="G17" s="2761" t="s">
        <x:v>223</x:v>
      </x:c>
      <x:c r="H17" s="2761" t="s">
        <x:v>224</x:v>
      </x:c>
      <x:c r="I17" s="2761" t="s">
        <x:v>281</x:v>
      </x:c>
      <x:c r="J17" s="477"/>
    </x:row>
    <x:row r="18" ht="41.25" hidden="0" customHeight="1">
      <x:c r="A18" s="2750" t="s">
        <x:v>282</x:v>
      </x:c>
      <x:c r="B18" s="2751" t="s">
        <x:v>283</x:v>
      </x:c>
      <x:c r="C18" s="2761" t="s">
        <x:v>284</x:v>
      </x:c>
      <x:c r="D18" s="2761" t="s">
        <x:v>220</x:v>
      </x:c>
      <x:c r="E18" s="2761" t="s">
        <x:v>266</x:v>
      </x:c>
      <x:c r="F18" s="2761" t="s">
        <x:v>285</x:v>
      </x:c>
      <x:c r="G18" s="2761" t="s">
        <x:v>223</x:v>
      </x:c>
      <x:c r="H18" s="2761" t="s">
        <x:v>224</x:v>
      </x:c>
      <x:c r="I18" s="2761" t="s">
        <x:v>286</x:v>
      </x:c>
      <x:c r="J18" s="477"/>
    </x:row>
    <x:row r="19" ht="41.25" hidden="0" customHeight="1">
      <x:c r="A19" s="2750" t="s">
        <x:v>282</x:v>
      </x:c>
      <x:c r="B19" s="2751" t="s">
        <x:v>70</x:v>
      </x:c>
      <x:c r="C19" s="2761" t="s">
        <x:v>287</x:v>
      </x:c>
      <x:c r="D19" s="2761" t="s">
        <x:v>220</x:v>
      </x:c>
      <x:c r="E19" s="2761" t="s">
        <x:v>288</x:v>
      </x:c>
      <x:c r="F19" s="2761" t="s">
        <x:v>70</x:v>
      </x:c>
      <x:c r="G19" s="2761" t="s">
        <x:v>289</x:v>
      </x:c>
      <x:c r="H19" s="2761" t="s">
        <x:v>224</x:v>
      </x:c>
      <x:c r="I19" s="2761" t="s">
        <x:v>290</x:v>
      </x:c>
      <x:c r="J19" s="477"/>
    </x:row>
    <x:row r="20" ht="41.25" hidden="0" customHeight="1">
      <x:c r="A20" s="2750" t="s">
        <x:v>282</x:v>
      </x:c>
      <x:c r="B20" s="2751" t="s">
        <x:v>77</x:v>
      </x:c>
      <x:c r="C20" s="2761" t="s">
        <x:v>291</x:v>
      </x:c>
      <x:c r="D20" s="2761" t="s">
        <x:v>220</x:v>
      </x:c>
      <x:c r="E20" s="2761" t="s">
        <x:v>288</x:v>
      </x:c>
      <x:c r="F20" s="2761" t="s">
        <x:v>77</x:v>
      </x:c>
      <x:c r="G20" s="2761" t="s">
        <x:v>289</x:v>
      </x:c>
      <x:c r="H20" s="2761" t="s">
        <x:v>224</x:v>
      </x:c>
      <x:c r="I20" s="2761" t="s">
        <x:v>292</x:v>
      </x:c>
      <x:c r="J20" s="477"/>
    </x:row>
    <x:row r="21" ht="41.25" hidden="0" customHeight="1">
      <x:c r="A21" s="2750" t="s">
        <x:v>196</x:v>
      </x:c>
      <x:c r="B21" s="2751" t="s">
        <x:v>293</x:v>
      </x:c>
      <x:c r="C21" s="2761" t="s">
        <x:v>294</x:v>
      </x:c>
      <x:c r="D21" s="2761" t="s">
        <x:v>260</x:v>
      </x:c>
      <x:c r="E21" s="2761" t="s">
        <x:v>196</x:v>
      </x:c>
      <x:c r="F21" s="2761" t="s">
        <x:v>295</x:v>
      </x:c>
      <x:c r="G21" s="2761" t="s">
        <x:v>238</x:v>
      </x:c>
      <x:c r="H21" s="2761" t="s">
        <x:v>224</x:v>
      </x:c>
      <x:c r="I21" s="2761" t="s">
        <x:v>296</x:v>
      </x:c>
      <x:c r="J21" s="477"/>
    </x:row>
    <x:row r="22" ht="41.25" hidden="0" customHeight="1">
      <x:c r="A22" s="2750" t="s">
        <x:v>196</x:v>
      </x:c>
      <x:c r="B22" s="2751" t="s">
        <x:v>297</x:v>
      </x:c>
      <x:c r="C22" s="2761" t="s">
        <x:v>298</x:v>
      </x:c>
      <x:c r="D22" s="2761" t="s">
        <x:v>220</x:v>
      </x:c>
      <x:c r="E22" s="2761" t="s">
        <x:v>299</x:v>
      </x:c>
      <x:c r="F22" s="2761" t="s">
        <x:v>300</x:v>
      </x:c>
      <x:c r="G22" s="2761" t="s">
        <x:v>289</x:v>
      </x:c>
      <x:c r="H22" s="2761" t="s">
        <x:v>224</x:v>
      </x:c>
      <x:c r="I22" s="2761" t="s">
        <x:v>301</x:v>
      </x:c>
      <x:c r="J22" s="477"/>
    </x:row>
    <x:row r="23" ht="41.25" hidden="0" customHeight="1">
      <x:c r="A23" s="2750" t="s">
        <x:v>196</x:v>
      </x:c>
      <x:c r="B23" s="2751" t="s">
        <x:v>302</x:v>
      </x:c>
      <x:c r="C23" s="2761" t="s">
        <x:v>303</x:v>
      </x:c>
      <x:c r="D23" s="2761" t="s">
        <x:v>260</x:v>
      </x:c>
      <x:c r="E23" s="2761" t="s">
        <x:v>304</x:v>
      </x:c>
      <x:c r="F23" s="2761" t="s">
        <x:v>305</x:v>
      </x:c>
      <x:c r="G23" s="2761" t="s">
        <x:v>238</x:v>
      </x:c>
      <x:c r="H23" s="2761" t="s">
        <x:v>224</x:v>
      </x:c>
      <x:c r="I23" s="2761" t="s">
        <x:v>306</x:v>
      </x:c>
      <x:c r="J23" s="477"/>
    </x:row>
    <x:row r="24" ht="41.25" hidden="0" customHeight="1">
      <x:c r="A24" s="2750" t="s">
        <x:v>196</x:v>
      </x:c>
      <x:c r="B24" s="2751" t="s">
        <x:v>307</x:v>
      </x:c>
      <x:c r="C24" s="2761" t="s">
        <x:v>308</x:v>
      </x:c>
      <x:c r="D24" s="2761" t="s">
        <x:v>220</x:v>
      </x:c>
      <x:c r="E24" s="2761" t="s">
        <x:v>266</x:v>
      </x:c>
      <x:c r="F24" s="2761" t="s">
        <x:v>309</x:v>
      </x:c>
      <x:c r="G24" s="2761" t="s">
        <x:v>238</x:v>
      </x:c>
      <x:c r="H24" s="2761" t="s">
        <x:v>224</x:v>
      </x:c>
      <x:c r="I24" s="2761" t="s">
        <x:v>310</x:v>
      </x:c>
      <x:c r="J24" s="477"/>
    </x:row>
    <x:row r="25" ht="41.25" hidden="0" customHeight="1">
      <x:c r="A25" s="2750" t="s">
        <x:v>196</x:v>
      </x:c>
      <x:c r="B25" s="2751" t="s">
        <x:v>311</x:v>
      </x:c>
      <x:c r="C25" s="2761" t="s">
        <x:v>312</x:v>
      </x:c>
      <x:c r="D25" s="2761" t="s">
        <x:v>220</x:v>
      </x:c>
      <x:c r="E25" s="2761" t="s">
        <x:v>266</x:v>
      </x:c>
      <x:c r="F25" s="2761" t="s">
        <x:v>234</x:v>
      </x:c>
      <x:c r="G25" s="2761" t="s">
        <x:v>238</x:v>
      </x:c>
      <x:c r="H25" s="2761" t="s">
        <x:v>224</x:v>
      </x:c>
      <x:c r="I25" s="2761" t="s">
        <x:v>313</x:v>
      </x:c>
      <x:c r="J25" s="477"/>
    </x:row>
    <x:row r="26" ht="41.25" hidden="0" customHeight="1">
      <x:c r="A26" s="2750" t="s">
        <x:v>196</x:v>
      </x:c>
      <x:c r="B26" s="2751" t="s">
        <x:v>314</x:v>
      </x:c>
      <x:c r="C26" s="2761" t="s">
        <x:v>315</x:v>
      </x:c>
      <x:c r="D26" s="2761" t="s">
        <x:v>220</x:v>
      </x:c>
      <x:c r="E26" s="2761" t="s">
        <x:v>266</x:v>
      </x:c>
      <x:c r="F26" s="2761" t="s">
        <x:v>316</x:v>
      </x:c>
      <x:c r="G26" s="2761" t="s">
        <x:v>223</x:v>
      </x:c>
      <x:c r="H26" s="2761" t="s">
        <x:v>224</x:v>
      </x:c>
      <x:c r="I26" s="2761" t="s">
        <x:v>317</x:v>
      </x:c>
      <x:c r="J26" s="477"/>
    </x:row>
    <x:row r="27" ht="41.25" hidden="0" customHeight="1">
      <x:c r="A27" s="2750" t="s">
        <x:v>196</x:v>
      </x:c>
      <x:c r="B27" s="2751" t="s">
        <x:v>318</x:v>
      </x:c>
      <x:c r="C27" s="2761" t="s">
        <x:v>319</x:v>
      </x:c>
      <x:c r="D27" s="2761" t="s">
        <x:v>260</x:v>
      </x:c>
      <x:c r="E27" s="2761" t="s">
        <x:v>320</x:v>
      </x:c>
      <x:c r="F27" s="2761" t="s">
        <x:v>321</x:v>
      </x:c>
      <x:c r="G27" s="2761" t="s">
        <x:v>238</x:v>
      </x:c>
      <x:c r="H27" s="2761" t="s">
        <x:v>224</x:v>
      </x:c>
      <x:c r="I27" s="2761" t="s">
        <x:v>322</x:v>
      </x:c>
      <x:c r="J27" s="477"/>
    </x:row>
    <x:row r="28" ht="41.25" hidden="0" customHeight="1">
      <x:c r="A28" s="2750" t="s">
        <x:v>196</x:v>
      </x:c>
      <x:c r="B28" s="2751" t="s">
        <x:v>323</x:v>
      </x:c>
      <x:c r="C28" s="2761" t="s">
        <x:v>324</x:v>
      </x:c>
      <x:c r="D28" s="2761" t="s">
        <x:v>325</x:v>
      </x:c>
      <x:c r="E28" s="2761" t="s">
        <x:v>326</x:v>
      </x:c>
      <x:c r="F28" s="2761" t="s">
        <x:v>327</x:v>
      </x:c>
      <x:c r="G28" s="2761" t="s">
        <x:v>238</x:v>
      </x:c>
      <x:c r="H28" s="2761" t="s">
        <x:v>224</x:v>
      </x:c>
      <x:c r="I28" s="2761" t="s">
        <x:v>328</x:v>
      </x:c>
      <x:c r="J28" s="477"/>
    </x:row>
    <x:row r="29" ht="41.25" hidden="0" customHeight="1">
      <x:c r="A29" s="2750" t="s">
        <x:v>329</x:v>
      </x:c>
      <x:c r="B29" s="2751" t="s">
        <x:v>330</x:v>
      </x:c>
      <x:c r="C29" s="2761" t="s">
        <x:v>331</x:v>
      </x:c>
      <x:c r="D29" s="2761" t="s">
        <x:v>260</x:v>
      </x:c>
      <x:c r="E29" s="2761" t="s">
        <x:v>332</x:v>
      </x:c>
      <x:c r="F29" s="2761" t="s">
        <x:v>333</x:v>
      </x:c>
      <x:c r="G29" s="2761" t="s">
        <x:v>238</x:v>
      </x:c>
      <x:c r="H29" s="2761" t="s">
        <x:v>224</x:v>
      </x:c>
      <x:c r="I29" s="2761" t="s">
        <x:v>334</x:v>
      </x:c>
      <x:c r="J29" s="477"/>
    </x:row>
    <x:row r="30" ht="41.25" hidden="0" customHeight="1">
      <x:c r="A30" s="2750" t="s">
        <x:v>329</x:v>
      </x:c>
      <x:c r="B30" s="2751" t="s">
        <x:v>335</x:v>
      </x:c>
      <x:c r="C30" s="2761" t="s">
        <x:v>336</x:v>
      </x:c>
      <x:c r="D30" s="2761" t="s">
        <x:v>325</x:v>
      </x:c>
      <x:c r="E30" s="2761" t="s">
        <x:v>333</x:v>
      </x:c>
      <x:c r="F30" s="2761" t="s">
        <x:v>337</x:v>
      </x:c>
      <x:c r="G30" s="2761" t="s">
        <x:v>238</x:v>
      </x:c>
      <x:c r="H30" s="2761" t="s">
        <x:v>338</x:v>
      </x:c>
      <x:c r="I30" s="2761" t="s">
        <x:v>339</x:v>
      </x:c>
      <x:c r="J30" s="477"/>
    </x:row>
    <x:row r="31" ht="41.25" hidden="0" customHeight="1">
      <x:c r="A31" s="2750" t="s">
        <x:v>340</x:v>
      </x:c>
      <x:c r="B31" s="2751" t="s">
        <x:v>340</x:v>
      </x:c>
      <x:c r="C31" s="2761" t="s">
        <x:v>341</x:v>
      </x:c>
      <x:c r="D31" s="2761" t="s">
        <x:v>220</x:v>
      </x:c>
      <x:c r="E31" s="2761" t="s">
        <x:v>288</x:v>
      </x:c>
      <x:c r="F31" s="2761" t="s">
        <x:v>340</x:v>
      </x:c>
      <x:c r="G31" s="2761" t="s">
        <x:v>289</x:v>
      </x:c>
      <x:c r="H31" s="2761" t="s">
        <x:v>224</x:v>
      </x:c>
      <x:c r="I31" s="2761" t="s">
        <x:v>342</x:v>
      </x:c>
      <x:c r="J31" s="477"/>
    </x:row>
    <x:row r="32" ht="41.25" hidden="0" customHeight="1">
      <x:c r="A32" s="2750" t="s">
        <x:v>340</x:v>
      </x:c>
      <x:c r="B32" s="2751" t="s">
        <x:v>343</x:v>
      </x:c>
      <x:c r="C32" s="2761" t="s">
        <x:v>344</x:v>
      </x:c>
      <x:c r="D32" s="2761" t="s">
        <x:v>220</x:v>
      </x:c>
      <x:c r="E32" s="2761" t="s">
        <x:v>266</x:v>
      </x:c>
      <x:c r="F32" s="2761" t="s">
        <x:v>345</x:v>
      </x:c>
      <x:c r="G32" s="2761" t="s">
        <x:v>238</x:v>
      </x:c>
      <x:c r="H32" s="2761" t="s">
        <x:v>346</x:v>
      </x:c>
      <x:c r="I32" s="2761" t="s">
        <x:v>347</x:v>
      </x:c>
      <x:c r="J32" s="477"/>
    </x:row>
    <x:row r="33" ht="41.25" hidden="0" customHeight="1">
      <x:c r="A33" s="2750" t="s">
        <x:v>348</x:v>
      </x:c>
      <x:c r="B33" s="2751" t="s">
        <x:v>349</x:v>
      </x:c>
      <x:c r="C33" s="2761" t="s">
        <x:v>350</x:v>
      </x:c>
      <x:c r="D33" s="2761" t="s">
        <x:v>220</x:v>
      </x:c>
      <x:c r="E33" s="2761" t="s">
        <x:v>221</x:v>
      </x:c>
      <x:c r="F33" s="2761" t="s">
        <x:v>349</x:v>
      </x:c>
      <x:c r="G33" s="2761" t="s">
        <x:v>289</x:v>
      </x:c>
      <x:c r="H33" s="2761" t="s">
        <x:v>351</x:v>
      </x:c>
      <x:c r="I33" s="2761" t="s">
        <x:v>352</x:v>
      </x:c>
      <x:c r="J33" s="477"/>
    </x:row>
    <x:row r="34" ht="41.25" hidden="0" customHeight="1">
      <x:c r="A34" s="2750" t="s">
        <x:v>348</x:v>
      </x:c>
      <x:c r="B34" s="2751" t="s">
        <x:v>353</x:v>
      </x:c>
      <x:c r="C34" s="2761" t="s">
        <x:v>350</x:v>
      </x:c>
      <x:c r="D34" s="2761" t="s">
        <x:v>220</x:v>
      </x:c>
      <x:c r="E34" s="2761" t="s">
        <x:v>221</x:v>
      </x:c>
      <x:c r="F34" s="2761" t="s">
        <x:v>353</x:v>
      </x:c>
      <x:c r="G34" s="2761" t="s">
        <x:v>289</x:v>
      </x:c>
      <x:c r="H34" s="2761" t="s">
        <x:v>351</x:v>
      </x:c>
      <x:c r="I34" s="2761" t="s">
        <x:v>352</x:v>
      </x:c>
      <x:c r="J34" s="477"/>
    </x:row>
    <x:row r="35" ht="41.25" hidden="0" customHeight="1">
      <x:c r="A35" s="2750" t="s">
        <x:v>348</x:v>
      </x:c>
      <x:c r="B35" s="2751" t="s">
        <x:v>354</x:v>
      </x:c>
      <x:c r="C35" s="2761" t="s">
        <x:v>350</x:v>
      </x:c>
      <x:c r="D35" s="2761" t="s">
        <x:v>220</x:v>
      </x:c>
      <x:c r="E35" s="2761" t="s">
        <x:v>221</x:v>
      </x:c>
      <x:c r="F35" s="2761" t="s">
        <x:v>354</x:v>
      </x:c>
      <x:c r="G35" s="2761" t="s">
        <x:v>289</x:v>
      </x:c>
      <x:c r="H35" s="2761" t="s">
        <x:v>351</x:v>
      </x:c>
      <x:c r="I35" s="2761" t="s">
        <x:v>352</x:v>
      </x:c>
      <x:c r="J35" s="477"/>
    </x:row>
    <x:row r="36" ht="41.25" hidden="0" customHeight="1">
      <x:c r="A36" s="2750" t="s">
        <x:v>355</x:v>
      </x:c>
      <x:c r="B36" s="2751" t="s">
        <x:v>356</x:v>
      </x:c>
      <x:c r="C36" s="2761" t="s">
        <x:v>357</x:v>
      </x:c>
      <x:c r="D36" s="2761" t="s">
        <x:v>220</x:v>
      </x:c>
      <x:c r="E36" s="2761" t="s">
        <x:v>358</x:v>
      </x:c>
      <x:c r="F36" s="2761" t="s">
        <x:v>359</x:v>
      </x:c>
      <x:c r="G36" s="2761" t="s">
        <x:v>360</x:v>
      </x:c>
      <x:c r="H36" s="2761" t="s">
        <x:v>224</x:v>
      </x:c>
      <x:c r="I36" s="2761" t="s">
        <x:v>361</x:v>
      </x:c>
      <x:c r="J36" s="477"/>
    </x:row>
    <x:row r="37" ht="41.25" hidden="0" customHeight="1">
      <x:c r="A37" s="2750" t="s">
        <x:v>355</x:v>
      </x:c>
      <x:c r="B37" s="2751" t="s">
        <x:v>362</x:v>
      </x:c>
      <x:c r="C37" s="2761" t="s">
        <x:v>363</x:v>
      </x:c>
      <x:c r="D37" s="2761" t="s">
        <x:v>220</x:v>
      </x:c>
      <x:c r="E37" s="2761" t="s">
        <x:v>266</x:v>
      </x:c>
      <x:c r="F37" s="2761" t="s">
        <x:v>364</x:v>
      </x:c>
      <x:c r="G37" s="2761" t="s">
        <x:v>360</x:v>
      </x:c>
      <x:c r="H37" s="2761" t="s">
        <x:v>224</x:v>
      </x:c>
      <x:c r="I37" s="2761" t="s">
        <x:v>365</x:v>
      </x:c>
      <x:c r="J37" s="477"/>
    </x:row>
    <x:row r="38" ht="41.25" hidden="0" customHeight="1">
      <x:c r="A38" s="2750" t="s">
        <x:v>355</x:v>
      </x:c>
      <x:c r="B38" s="2751" t="s">
        <x:v>366</x:v>
      </x:c>
      <x:c r="C38" s="2761" t="s">
        <x:v>367</x:v>
      </x:c>
      <x:c r="D38" s="2761" t="s">
        <x:v>220</x:v>
      </x:c>
      <x:c r="E38" s="2761" t="s">
        <x:v>266</x:v>
      </x:c>
      <x:c r="F38" s="2761" t="s">
        <x:v>368</x:v>
      </x:c>
      <x:c r="G38" s="2761" t="s">
        <x:v>238</x:v>
      </x:c>
      <x:c r="H38" s="2761" t="s">
        <x:v>224</x:v>
      </x:c>
      <x:c r="I38" s="2761" t="s">
        <x:v>369</x:v>
      </x:c>
      <x:c r="J38" s="477"/>
    </x:row>
    <x:row r="39" ht="48" hidden="0" customHeight="1">
      <x:c r="A39" s="2750" t="s">
        <x:v>169</x:v>
      </x:c>
      <x:c r="B39" s="2751" t="s">
        <x:v>343</x:v>
      </x:c>
      <x:c r="C39" s="2761" t="s">
        <x:v>370</x:v>
      </x:c>
      <x:c r="D39" s="2761" t="s">
        <x:v>371</x:v>
      </x:c>
      <x:c r="E39" s="2761" t="s">
        <x:v>372</x:v>
      </x:c>
      <x:c r="F39" s="2761" t="s">
        <x:v>373</x:v>
      </x:c>
      <x:c r="G39" s="2761" t="s">
        <x:v>374</x:v>
      </x:c>
      <x:c r="H39" s="2761" t="s">
        <x:v>375</x:v>
      </x:c>
      <x:c r="I39" s="2761" t="s">
        <x:v>376</x:v>
      </x:c>
      <x:c r="J39" s="477"/>
    </x:row>
    <x:row r="40" ht="41.25" hidden="0" customHeight="1">
      <x:c r="A40" s="2750" t="s">
        <x:v>169</x:v>
      </x:c>
      <x:c r="B40" s="2751" t="s">
        <x:v>377</x:v>
      </x:c>
      <x:c r="C40" s="2761" t="s">
        <x:v>378</x:v>
      </x:c>
      <x:c r="D40" s="2761" t="s">
        <x:v>260</x:v>
      </x:c>
      <x:c r="E40" s="2761" t="s">
        <x:v>379</x:v>
      </x:c>
      <x:c r="F40" s="2761" t="s">
        <x:v>380</x:v>
      </x:c>
      <x:c r="G40" s="2761" t="s">
        <x:v>381</x:v>
      </x:c>
      <x:c r="H40" s="2761" t="s">
        <x:v>375</x:v>
      </x:c>
      <x:c r="I40" s="2761" t="s">
        <x:v>382</x:v>
      </x:c>
      <x:c r="J40" s="477"/>
    </x:row>
    <x:row r="41" ht="41.25" hidden="0" customHeight="1">
      <x:c r="A41" s="2750" t="s">
        <x:v>169</x:v>
      </x:c>
      <x:c r="B41" s="2751" t="s">
        <x:v>383</x:v>
      </x:c>
      <x:c r="C41" s="2761" t="s">
        <x:v>384</x:v>
      </x:c>
      <x:c r="D41" s="2761" t="s">
        <x:v>260</x:v>
      </x:c>
      <x:c r="E41" s="2761" t="s">
        <x:v>379</x:v>
      </x:c>
      <x:c r="F41" s="2761" t="s">
        <x:v>385</x:v>
      </x:c>
      <x:c r="G41" s="2761" t="s">
        <x:v>381</x:v>
      </x:c>
      <x:c r="H41" s="2761" t="s">
        <x:v>375</x:v>
      </x:c>
      <x:c r="I41" s="2761" t="s">
        <x:v>382</x:v>
      </x:c>
      <x:c r="J41" s="477"/>
    </x:row>
    <x:row r="42" ht="41.25" hidden="0" customHeight="1">
      <x:c r="A42" s="2750" t="s">
        <x:v>169</x:v>
      </x:c>
      <x:c r="B42" s="2751" t="s">
        <x:v>386</x:v>
      </x:c>
      <x:c r="C42" s="2761" t="s">
        <x:v>387</x:v>
      </x:c>
      <x:c r="D42" s="2761" t="s">
        <x:v>260</x:v>
      </x:c>
      <x:c r="E42" s="2761" t="s">
        <x:v>388</x:v>
      </x:c>
      <x:c r="F42" s="2761" t="s">
        <x:v>389</x:v>
      </x:c>
      <x:c r="G42" s="2761" t="s">
        <x:v>390</x:v>
      </x:c>
      <x:c r="H42" s="2761" t="s">
        <x:v>375</x:v>
      </x:c>
      <x:c r="I42" s="2761" t="s">
        <x:v>382</x:v>
      </x:c>
      <x:c r="J42" s="477"/>
    </x:row>
    <x:row r="43" ht="41.25" hidden="0" customHeight="1">
      <x:c r="A43" s="2750" t="s">
        <x:v>169</x:v>
      </x:c>
      <x:c r="B43" s="2751" t="s">
        <x:v>391</x:v>
      </x:c>
      <x:c r="C43" s="2761" t="s">
        <x:v>392</x:v>
      </x:c>
      <x:c r="D43" s="2761" t="s">
        <x:v>393</x:v>
      </x:c>
      <x:c r="E43" s="2761" t="s">
        <x:v>394</x:v>
      </x:c>
      <x:c r="F43" s="2761" t="s">
        <x:v>395</x:v>
      </x:c>
      <x:c r="G43" s="2761" t="s">
        <x:v>396</x:v>
      </x:c>
      <x:c r="H43" s="2761" t="s">
        <x:v>375</x:v>
      </x:c>
      <x:c r="I43" s="2761" t="s">
        <x:v>382</x:v>
      </x:c>
      <x:c r="J43" s="477"/>
    </x:row>
    <x:row r="44" ht="41.25" hidden="0" customHeight="1">
      <x:c r="A44" s="2750" t="s">
        <x:v>169</x:v>
      </x:c>
      <x:c r="B44" s="2751" t="s">
        <x:v>397</x:v>
      </x:c>
      <x:c r="C44" s="2761" t="s">
        <x:v>398</x:v>
      </x:c>
      <x:c r="D44" s="2761" t="s">
        <x:v>393</x:v>
      </x:c>
      <x:c r="E44" s="2761" t="s">
        <x:v>394</x:v>
      </x:c>
      <x:c r="F44" s="2761" t="s">
        <x:v>399</x:v>
      </x:c>
      <x:c r="G44" s="2761" t="s">
        <x:v>400</x:v>
      </x:c>
      <x:c r="H44" s="2761" t="s">
        <x:v>375</x:v>
      </x:c>
      <x:c r="I44" s="2761" t="s">
        <x:v>382</x:v>
      </x:c>
      <x:c r="J44" s="477"/>
    </x:row>
    <x:row r="45" ht="48" hidden="0" customHeight="1">
      <x:c r="A45" s="2750" t="s">
        <x:v>161</x:v>
      </x:c>
      <x:c r="B45" s="2751" t="s">
        <x:v>401</x:v>
      </x:c>
      <x:c r="C45" s="2761" t="s">
        <x:v>402</x:v>
      </x:c>
      <x:c r="D45" s="2761" t="s">
        <x:v>371</x:v>
      </x:c>
      <x:c r="E45" s="2761" t="s">
        <x:v>403</x:v>
      </x:c>
      <x:c r="F45" s="2761" t="s">
        <x:v>404</x:v>
      </x:c>
      <x:c r="G45" s="2761" t="s">
        <x:v>405</x:v>
      </x:c>
      <x:c r="H45" s="2761" t="s">
        <x:v>375</x:v>
      </x:c>
      <x:c r="I45" s="2761" t="s">
        <x:v>406</x:v>
      </x:c>
      <x:c r="J45" s="477"/>
    </x:row>
    <x:row r="46" ht="41.25" hidden="0" customHeight="1">
      <x:c r="A46" s="2750" t="s">
        <x:v>161</x:v>
      </x:c>
      <x:c r="B46" s="2751" t="s">
        <x:v>407</x:v>
      </x:c>
      <x:c r="C46" s="2761" t="s">
        <x:v>408</x:v>
      </x:c>
      <x:c r="D46" s="2761" t="s">
        <x:v>371</x:v>
      </x:c>
      <x:c r="E46" s="2761" t="s">
        <x:v>409</x:v>
      </x:c>
      <x:c r="F46" s="2761" t="s">
        <x:v>410</x:v>
      </x:c>
      <x:c r="G46" s="2761" t="s">
        <x:v>411</x:v>
      </x:c>
      <x:c r="H46" s="2761" t="s">
        <x:v>375</x:v>
      </x:c>
      <x:c r="I46" s="2761" t="s">
        <x:v>412</x:v>
      </x:c>
      <x:c r="J46" s="477"/>
    </x:row>
    <x:row r="47" ht="72" hidden="0" customHeight="1">
      <x:c r="A47" s="2750" t="s">
        <x:v>161</x:v>
      </x:c>
      <x:c r="B47" s="2751" t="s">
        <x:v>413</x:v>
      </x:c>
      <x:c r="C47" s="2761" t="s">
        <x:v>414</x:v>
      </x:c>
      <x:c r="D47" s="2761" t="s">
        <x:v>220</x:v>
      </x:c>
      <x:c r="E47" s="2761" t="s">
        <x:v>415</x:v>
      </x:c>
      <x:c r="F47" s="2761" t="s">
        <x:v>416</x:v>
      </x:c>
      <x:c r="G47" s="2761" t="s">
        <x:v>417</x:v>
      </x:c>
      <x:c r="H47" s="2761" t="s">
        <x:v>375</x:v>
      </x:c>
      <x:c r="I47" s="2761" t="s">
        <x:v>418</x:v>
      </x:c>
      <x:c r="J47" s="477"/>
    </x:row>
    <x:row r="48" ht="48" hidden="0" customHeight="1">
      <x:c r="A48" s="2750" t="s">
        <x:v>161</x:v>
      </x:c>
      <x:c r="B48" s="2751" t="s">
        <x:v>419</x:v>
      </x:c>
      <x:c r="C48" s="2761" t="s">
        <x:v>420</x:v>
      </x:c>
      <x:c r="D48" s="2761" t="s">
        <x:v>260</x:v>
      </x:c>
      <x:c r="E48" s="2761" t="s">
        <x:v>379</x:v>
      </x:c>
      <x:c r="F48" s="2761" t="s">
        <x:v>421</x:v>
      </x:c>
      <x:c r="G48" s="2761" t="s">
        <x:v>422</x:v>
      </x:c>
      <x:c r="H48" s="2761" t="s">
        <x:v>375</x:v>
      </x:c>
      <x:c r="I48" s="2761" t="s">
        <x:v>423</x:v>
      </x:c>
      <x:c r="J48" s="477"/>
    </x:row>
    <x:row r="49" ht="13.5" customHeight="1">
      <x:c r="A49" s="2766"/>
      <x:c r="B49" s="2767"/>
      <x:c r="C49" s="2767"/>
      <x:c r="D49" s="2767"/>
      <x:c r="E49" s="2767"/>
      <x:c r="F49" s="2767"/>
      <x:c r="G49" s="2767"/>
      <x:c r="H49" s="2767"/>
      <x:c r="I49" s="2767"/>
      <x:c r="J49" s="483"/>
    </x:row>
  </x:sheetData>
  <x:mergeCells>
    <x:mergeCell ref="A1:I1"/>
    <x:mergeCell ref="A2:I2"/>
  </x:mergeCells>
  <x:conditionalFormatting sqref="H4:H44">
    <x:cfRule type="containsText" dxfId="2" priority="1" stopIfTrue="1" operator="containsText" text="Confirmation required">
      <x:formula>NOT(ISERROR(FIND(UPPER("Confirmation required"),UPPER(H4))))</x:formula>
      <x:formula>"Confirmation required"</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85546875" defaultRowHeight="15"/>
  <x:cols>
    <x:col min="1" max="1" width="14" style="39" hidden="0" customWidth="1"/>
    <x:col min="2" max="2" width="18" style="39" hidden="0" customWidth="1"/>
    <x:col min="3" max="3" width="44" style="39" hidden="0" customWidth="1"/>
    <x:col min="4" max="4" width="24" style="39" hidden="0" customWidth="1"/>
    <x:col min="5" max="5" width="20" style="39" hidden="0" customWidth="1"/>
    <x:col min="6" max="6" width="26" style="39" hidden="0" customWidth="1"/>
    <x:col min="7" max="7" width="20" style="39" hidden="0" customWidth="1"/>
    <x:col min="8" max="8" width="38" style="39" hidden="0" customWidth="1"/>
    <x:col min="9" max="9" width="26" style="39" hidden="0" customWidth="1"/>
    <x:col min="10" max="10" width="24" style="39" hidden="0" customWidth="1"/>
    <x:col min="11" max="11" width="78" style="39" hidden="0" customWidth="1"/>
    <x:col min="12" max="14" width="8.85546875" style="39" customWidth="1"/>
    <x:col min="15" max="16384" width="8.85546875" style="39" customWidth="0"/>
    <x:col min="12" max="12" width="45" hidden="0" customWidth="1"/>
  </x:cols>
  <x:sheetData>
    <x:row r="1" ht="18" hidden="0" customHeight="1">
      <x:c r="A1" s="422" t="s">
        <x:v>424</x:v>
      </x:c>
      <x:c r="B1" s="410"/>
      <x:c r="C1" s="410"/>
      <x:c r="D1" s="410"/>
      <x:c r="E1" s="410"/>
      <x:c r="F1" s="410"/>
      <x:c r="G1" s="410"/>
      <x:c r="H1" s="410"/>
      <x:c r="I1" s="410"/>
      <x:c r="J1" s="410"/>
      <x:c r="K1" s="410"/>
      <x:c r="L1" s="410"/>
      <x:c r="M1" s="474"/>
    </x:row>
    <x:row r="2" ht="15" customHeight="1">
      <x:c r="A2" s="475" t="s">
        <x:v>425</x:v>
      </x:c>
      <x:c r="B2" s="371"/>
      <x:c r="C2" s="371"/>
      <x:c r="D2" s="371"/>
      <x:c r="E2" s="371"/>
      <x:c r="F2" s="371"/>
      <x:c r="G2" s="371"/>
      <x:c r="H2" s="371"/>
      <x:c r="I2" s="371"/>
      <x:c r="J2" s="371"/>
      <x:c r="K2" s="371"/>
      <x:c r="L2" s="371"/>
      <x:c r="M2" s="477"/>
    </x:row>
    <x:row r="3" ht="15" customHeight="1">
      <x:c r="A3" s="412"/>
      <x:c r="B3" s="371"/>
      <x:c r="C3" s="371"/>
      <x:c r="D3" s="371"/>
      <x:c r="E3" s="371"/>
      <x:c r="F3" s="371"/>
      <x:c r="G3" s="371"/>
      <x:c r="H3" s="371"/>
      <x:c r="I3" s="371"/>
      <x:c r="J3" s="371"/>
      <x:c r="K3" s="371"/>
      <x:c r="L3" s="371"/>
      <x:c r="M3" s="477"/>
    </x:row>
    <x:row r="4" ht="15" hidden="0" customHeight="1">
      <x:c r="A4" s="412"/>
      <x:c r="B4" s="371"/>
      <x:c r="C4" s="371"/>
      <x:c r="D4" s="371"/>
      <x:c r="E4" s="371"/>
      <x:c r="F4" s="371"/>
      <x:c r="G4" s="371"/>
      <x:c r="H4" s="371"/>
      <x:c r="I4" s="371"/>
      <x:c r="J4" s="371"/>
      <x:c r="K4" s="371"/>
      <x:c r="L4" s="371"/>
      <x:c r="M4" s="477"/>
    </x:row>
    <x:row r="5" ht="15" hidden="0" customHeight="1">
      <x:c r="A5" s="388" t="s">
        <x:v>426</x:v>
      </x:c>
      <x:c r="B5" s="374" t="s">
        <x:v>427</x:v>
      </x:c>
      <x:c r="C5" s="374" t="s">
        <x:v>428</x:v>
      </x:c>
      <x:c r="D5" s="374" t="s">
        <x:v>429</x:v>
      </x:c>
      <x:c r="E5" s="374" t="s">
        <x:v>430</x:v>
      </x:c>
      <x:c r="F5" s="374" t="s">
        <x:v>431</x:v>
      </x:c>
      <x:c r="G5" s="374" t="s">
        <x:v>432</x:v>
      </x:c>
      <x:c r="H5" s="374" t="s">
        <x:v>433</x:v>
      </x:c>
      <x:c r="I5" s="374" t="s">
        <x:v>434</x:v>
      </x:c>
      <x:c r="J5" s="374" t="s">
        <x:v>435</x:v>
      </x:c>
      <x:c r="K5" s="374" t="s">
        <x:v>436</x:v>
      </x:c>
      <x:c r="L5" s="374" t="s">
        <x:v>437</x:v>
      </x:c>
      <x:c r="M5" s="477"/>
    </x:row>
    <x:row r="6" ht="24" hidden="0" customHeight="1">
      <x:c r="A6" s="415" t="s">
        <x:v>438</x:v>
      </x:c>
      <x:c r="B6" s="370" t="s">
        <x:v>439</x:v>
      </x:c>
      <x:c r="C6" s="370" t="s">
        <x:v>440</x:v>
      </x:c>
      <x:c r="D6" s="370" t="s">
        <x:v>441</x:v>
      </x:c>
      <x:c r="E6" s="370" t="s">
        <x:v>442</x:v>
      </x:c>
      <x:c r="F6" s="371"/>
      <x:c r="G6" s="370" t="s">
        <x:v>443</x:v>
      </x:c>
      <x:c r="H6" s="370" t="s">
        <x:v>444</x:v>
      </x:c>
      <x:c r="I6" s="370" t="s">
        <x:v>445</x:v>
      </x:c>
      <x:c r="J6" s="371" t="str">
        <x:v>Yes – PASS</x:v>
      </x:c>
      <x:c r="K6" s="371" t="str">
        <x:v>0 missing values in required fields across 470 clean rows. Measure-specific blank complaint fields are structurally expected and documented.</x:v>
      </x:c>
      <x:c r="L6" s="371" t="str">
        <x:v>Clean-table record counts used for validation: Complaints 295 + SIRS 80 + Worker Regulation 95 = 470 analytical records.</x:v>
      </x:c>
      <x:c r="M6" s="477"/>
    </x:row>
    <x:row r="7" ht="24" hidden="0" customHeight="1">
      <x:c r="A7" s="415" t="s">
        <x:v>446</x:v>
      </x:c>
      <x:c r="B7" s="370" t="s">
        <x:v>447</x:v>
      </x:c>
      <x:c r="C7" s="370" t="s">
        <x:v>448</x:v>
      </x:c>
      <x:c r="D7" s="370" t="s">
        <x:v>449</x:v>
      </x:c>
      <x:c r="E7" s="370" t="s">
        <x:v>450</x:v>
      </x:c>
      <x:c r="F7" s="370" t="s">
        <x:v>451</x:v>
      </x:c>
      <x:c r="G7" s="371"/>
      <x:c r="H7" s="370" t="s">
        <x:v>452</x:v>
      </x:c>
      <x:c r="I7" s="370" t="s">
        <x:v>445</x:v>
      </x:c>
      <x:c r="J7" s="371" t="str">
        <x:v>Yes – PASS</x:v>
      </x:c>
      <x:c r="K7" s="371" t="str">
        <x:v>0 exact duplicate rows and 0 duplicate composite keys across Complaints (295), SIRS (80) and Worker Regulation (95).</x:v>
      </x:c>
      <x:c r="L7" s="371" t="str">
        <x:v>Cross-system reconciliation: Excel Complaints_Clean contains 295 analytical data records (excluding title, note and header rows), matching the SQL analytics.complaints_clean record count shown in the project evidence.</x:v>
      </x:c>
      <x:c r="M7" s="477"/>
    </x:row>
    <x:row r="8" ht="15" hidden="0" customHeight="1">
      <x:c r="A8" s="415" t="s">
        <x:v>453</x:v>
      </x:c>
      <x:c r="B8" s="370" t="s">
        <x:v>454</x:v>
      </x:c>
      <x:c r="C8" s="370" t="s">
        <x:v>455</x:v>
      </x:c>
      <x:c r="D8" s="370" t="s">
        <x:v>456</x:v>
      </x:c>
      <x:c r="E8" s="370" t="s">
        <x:v>457</x:v>
      </x:c>
      <x:c r="F8" s="371"/>
      <x:c r="G8" s="370" t="s">
        <x:v>458</x:v>
      </x:c>
      <x:c r="H8" s="370" t="s">
        <x:v>459</x:v>
      </x:c>
      <x:c r="I8" s="370" t="s">
        <x:v>445</x:v>
      </x:c>
      <x:c r="J8" s="371" t="str">
        <x:v>Yes – PASS</x:v>
      </x:c>
      <x:c r="K8" s="371" t="str">
        <x:v>0 records with Period_Start later than Period_End across all 470 clean rows.</x:v>
      </x:c>
      <x:c r="L8" s="371"/>
      <x:c r="M8" s="477"/>
    </x:row>
    <x:row r="9" ht="24" hidden="0" customHeight="1">
      <x:c r="A9" s="415" t="s">
        <x:v>460</x:v>
      </x:c>
      <x:c r="B9" s="370" t="s">
        <x:v>454</x:v>
      </x:c>
      <x:c r="C9" s="370" t="s">
        <x:v>461</x:v>
      </x:c>
      <x:c r="D9" s="370" t="s">
        <x:v>462</x:v>
      </x:c>
      <x:c r="E9" s="370" t="s">
        <x:v>463</x:v>
      </x:c>
      <x:c r="F9" s="371"/>
      <x:c r="G9" s="370" t="s">
        <x:v>464</x:v>
      </x:c>
      <x:c r="H9" s="370" t="s">
        <x:v>465</x:v>
      </x:c>
      <x:c r="I9" s="370" t="s">
        <x:v>466</x:v>
      </x:c>
      <x:c r="J9" s="371" t="str">
        <x:v>Yes – PASS</x:v>
      </x:c>
      <x:c r="K9" s="371" t="str">
        <x:v>0 complaint or SIRS percentage values outside 0–1. SIRS Priority 1% and Priority 2% reconcile to 100% after rounding.</x:v>
      </x:c>
      <x:c r="L9" s="371"/>
      <x:c r="M9" s="477"/>
    </x:row>
    <x:row r="10" ht="24" hidden="0" customHeight="1">
      <x:c r="A10" s="415" t="s">
        <x:v>467</x:v>
      </x:c>
      <x:c r="B10" s="370" t="s">
        <x:v>468</x:v>
      </x:c>
      <x:c r="C10" s="370" t="s">
        <x:v>469</x:v>
      </x:c>
      <x:c r="D10" s="370" t="s">
        <x:v>470</x:v>
      </x:c>
      <x:c r="E10" s="370" t="s">
        <x:v>471</x:v>
      </x:c>
      <x:c r="F10" s="370" t="s">
        <x:v>472</x:v>
      </x:c>
      <x:c r="G10" s="370" t="s">
        <x:v>473</x:v>
      </x:c>
      <x:c r="H10" s="370" t="s">
        <x:v>474</x:v>
      </x:c>
      <x:c r="I10" s="370" t="s">
        <x:v>475</x:v>
      </x:c>
      <x:c r="J10" s="650" t="str">
        <x:v>Yes – EXCEPTION RETAINED</x:v>
      </x:c>
      <x:c r="K10" s="650" t="str">
        <x:v>SIRS: 80/80 Priority 1 + Priority 2 counts equal Total_Count. Worker Q4: 59 + 71 = 130 (PASS). Nov–Dec: 15 + 2 = 17 versus published 9 (FAIL; difference 8).</x:v>
      </x:c>
      <x:c r="L10" s="371"/>
      <x:c r="M10" s="477"/>
    </x:row>
    <x:row r="11" ht="15" hidden="0" customHeight="1">
      <x:c r="A11" s="412"/>
      <x:c r="B11" s="371"/>
      <x:c r="C11" s="371"/>
      <x:c r="D11" s="371"/>
      <x:c r="E11" s="371"/>
      <x:c r="F11" s="371"/>
      <x:c r="G11" s="371"/>
      <x:c r="H11" s="371"/>
      <x:c r="I11" s="371"/>
      <x:c r="J11" s="371"/>
      <x:c r="K11" s="371"/>
      <x:c r="L11" s="371"/>
      <x:c r="M11" s="477"/>
    </x:row>
    <x:row r="12" ht="15" hidden="0" customHeight="1">
      <x:c r="A12" s="412"/>
      <x:c r="B12" s="371"/>
      <x:c r="C12" s="371"/>
      <x:c r="D12" s="371"/>
      <x:c r="E12" s="371"/>
      <x:c r="F12" s="371"/>
      <x:c r="G12" s="371"/>
      <x:c r="H12" s="371"/>
      <x:c r="I12" s="371"/>
      <x:c r="J12" s="371"/>
      <x:c r="K12" s="371"/>
      <x:c r="L12" s="371"/>
      <x:c r="M12" s="477"/>
    </x:row>
    <x:row r="13" ht="15" hidden="0" customHeight="1">
      <x:c r="A13" s="412"/>
      <x:c r="B13" s="371"/>
      <x:c r="C13" s="371"/>
      <x:c r="D13" s="371"/>
      <x:c r="E13" s="371"/>
      <x:c r="F13" s="371"/>
      <x:c r="G13" s="371"/>
      <x:c r="H13" s="371"/>
      <x:c r="I13" s="371"/>
      <x:c r="J13" s="371"/>
      <x:c r="K13" s="371"/>
      <x:c r="L13" s="371"/>
      <x:c r="M13" s="477"/>
    </x:row>
    <x:row r="14" ht="15" hidden="0" customHeight="1">
      <x:c r="A14" s="634" t="s">
        <x:v>476</x:v>
      </x:c>
      <x:c r="B14" s="371"/>
      <x:c r="C14" s="371"/>
      <x:c r="D14" s="371"/>
      <x:c r="E14" s="371"/>
      <x:c r="F14" s="371"/>
      <x:c r="G14" s="371"/>
      <x:c r="H14" s="371"/>
      <x:c r="I14" s="371"/>
      <x:c r="J14" s="371"/>
      <x:c r="K14" s="371"/>
      <x:c r="L14" s="371"/>
      <x:c r="M14" s="477"/>
    </x:row>
    <x:row r="15" ht="15" hidden="0" customHeight="1">
      <x:c r="A15" s="388" t="s">
        <x:v>240</x:v>
      </x:c>
      <x:c r="B15" s="374" t="s">
        <x:v>477</x:v>
      </x:c>
      <x:c r="C15" s="374" t="s">
        <x:v>478</x:v>
      </x:c>
      <x:c r="D15" s="374" t="s">
        <x:v>479</x:v>
      </x:c>
      <x:c r="E15" s="374" t="s">
        <x:v>480</x:v>
      </x:c>
      <x:c r="F15" s="374" t="s">
        <x:v>481</x:v>
      </x:c>
      <x:c r="G15" s="374" t="s">
        <x:v>7</x:v>
      </x:c>
      <x:c r="H15" s="374" t="s">
        <x:v>366</x:v>
      </x:c>
      <x:c r="I15" s="374" t="s">
        <x:v>482</x:v>
      </x:c>
      <x:c r="J15" s="371"/>
      <x:c r="K15" s="371"/>
      <x:c r="L15" s="371"/>
      <x:c r="M15" s="477"/>
    </x:row>
    <x:row r="16" ht="15" hidden="0" customHeight="1">
      <x:c r="A16" s="640" t="s">
        <x:v>483</x:v>
      </x:c>
      <x:c r="B16" s="639">
        <x:v>59</x:v>
      </x:c>
      <x:c r="C16" s="639">
        <x:v>71</x:v>
      </x:c>
      <x:c r="D16" s="639" t="n">
        <x:f>B16+C16</x:f>
        <x:v>130</x:v>
      </x:c>
      <x:c r="E16" s="639">
        <x:v>130</x:v>
      </x:c>
      <x:c r="F16" s="639" t="n">
        <x:f>D16-E16</x:f>
        <x:v>0</x:v>
      </x:c>
      <x:c r="G16" s="640" t="str">
        <x:f>IF(F16=0,"PASS","FAIL")</x:f>
        <x:v>PASS</x:v>
      </x:c>
      <x:c r="H16" s="640" t="str">
        <x:f>IF(G16="PASS","No action","Verify source / quarantine")</x:f>
        <x:v>No action</x:v>
      </x:c>
      <x:c r="I16" s="640" t="s">
        <x:v>484</x:v>
      </x:c>
      <x:c r="J16" s="371"/>
      <x:c r="K16" s="371"/>
      <x:c r="L16" s="371"/>
      <x:c r="M16" s="477"/>
    </x:row>
    <x:row r="17" ht="96" hidden="0" customHeight="1">
      <x:c r="A17" s="647" t="s">
        <x:v>93</x:v>
      </x:c>
      <x:c r="B17" s="648">
        <x:v>15</x:v>
      </x:c>
      <x:c r="C17" s="648">
        <x:v>2</x:v>
      </x:c>
      <x:c r="D17" s="648" t="n">
        <x:f>B17+C17</x:f>
        <x:v>17</x:v>
      </x:c>
      <x:c r="E17" s="648">
        <x:v>9</x:v>
      </x:c>
      <x:c r="F17" s="648" t="n">
        <x:f>D17-E17</x:f>
        <x:v>8</x:v>
      </x:c>
      <x:c r="G17" s="647" t="str">
        <x:f>IF(F17=0,"PASS","FAIL")</x:f>
        <x:v>FAIL</x:v>
      </x:c>
      <x:c r="H17" s="647" t="str">
        <x:v>Quarantine from trend/KPI analysis</x:v>
      </x:c>
      <x:c r="I17" s="647" t="str">
        <x:v>Retain source values unchanged. The calculated 17 cases and published total of 9 may use different scopes, definitions or timing. Do not use this period as a reconciled worker-investigation KPI until the source definition is confirmed.</x:v>
      </x:c>
      <x:c r="J17" s="380"/>
      <x:c r="K17" s="380"/>
      <x:c r="L17" s="380"/>
      <x:c r="M17" s="483"/>
    </x:row>
  </x:sheetData>
  <x:mergeCells>
    <x:mergeCell ref="A1:L1"/>
    <x:mergeCell ref="A2:L3"/>
    <x:mergeCell ref="A14:L14"/>
  </x:mergeCells>
  <x:conditionalFormatting sqref="G16:G17">
    <x:cfRule type="containsText" dxfId="1" priority="1" stopIfTrue="1" operator="containsText" text="PASS">
      <x:formula>NOT(ISERROR(FIND(UPPER("PASS"),UPPER(G16))))</x:formula>
      <x:formula>"PASS"</x:formula>
    </x:cfRule>
    <x:cfRule type="containsText" dxfId="0" priority="2" stopIfTrue="1" operator="containsText" text="FAIL">
      <x:formula>NOT(ISERROR(FIND(UPPER("FAIL"),UPPER(G16))))</x:formula>
      <x:formula>"FAIL"</x:formula>
    </x:cfRule>
  </x:conditionalFormatting>
  <x:dataValidations count="1">
    <x:dataValidation type="list" allowBlank="1" showInputMessage="1" showErrorMessage="1" sqref="J6:J12">
      <x:formula1>"Not started,In progress,Complete"</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24" hidden="0" customWidth="1"/>
    <x:col min="3" max="3" width="42" hidden="0" customWidth="1"/>
    <x:col min="4" max="4" width="56" hidden="0" customWidth="1"/>
    <x:col min="5" max="5" width="4" hidden="0" customWidth="1"/>
    <x:col min="6" max="6" width="54" hidden="0" customWidth="1"/>
    <x:col min="7" max="7" width="18" hidden="0" customWidth="1"/>
    <x:col min="8" max="8" width="28" hidden="0" customWidth="1"/>
  </x:cols>
  <x:sheetData>
    <x:row r="1" ht="18" hidden="0" customHeight="1">
      <x:c r="A1" s="653" t="str">
        <x:v>Aged Care Quality Analytics — Analysis Summary</x:v>
      </x:c>
      <x:c r="B1" s="653"/>
      <x:c r="C1" s="653"/>
      <x:c r="D1" s="653"/>
      <x:c r="E1" s="653"/>
      <x:c r="F1" s="653"/>
      <x:c r="G1" s="653"/>
      <x:c r="H1" s="653"/>
    </x:row>
    <x:row r="2" ht="15" hidden="0" customHeight="1">
      <x:c r="A2" s="655" t="str">
        <x:v>Verified findings from complaints, SIRS incidents and worker-regulation data. Legacy and post-change reporting periods are kept analytically separate.</x:v>
      </x:c>
      <x:c r="B2" s="655"/>
      <x:c r="C2" s="655"/>
      <x:c r="D2" s="655"/>
      <x:c r="E2" s="655"/>
      <x:c r="F2" s="655"/>
      <x:c r="G2" s="655"/>
      <x:c r="H2" s="655"/>
    </x:row>
    <x:row r="3" ht="15" hidden="0" customHeight="1">
      <x:c r="A3" s="360"/>
      <x:c r="B3" s="360"/>
      <x:c r="C3" s="360"/>
      <x:c r="D3" s="360"/>
      <x:c r="E3" s="360"/>
      <x:c r="F3" s="360"/>
      <x:c r="G3" s="360"/>
      <x:c r="H3" s="360"/>
    </x:row>
    <x:row r="4" ht="15" hidden="0" customHeight="1">
      <x:c r="A4" s="658" t="str">
        <x:v>Project status</x:v>
      </x:c>
      <x:c r="B4" s="658"/>
      <x:c r="C4" s="658"/>
      <x:c r="D4" s="658"/>
      <x:c r="E4" s="360"/>
      <x:c r="F4" s="658" t="str">
        <x:v>Key data-quality controls</x:v>
      </x:c>
      <x:c r="G4" s="658"/>
      <x:c r="H4" s="658"/>
    </x:row>
    <x:row r="5" ht="24" hidden="0" customHeight="1">
      <x:c r="A5" s="663" t="str">
        <x:v>Coverage</x:v>
      </x:c>
      <x:c r="B5" s="664" t="str">
        <x:v>FY2024-25 Q1–Q4 plus Nov–Dec 2025 partial period</x:v>
      </x:c>
      <x:c r="C5" s="360"/>
      <x:c r="D5" s="360"/>
      <x:c r="E5" s="360"/>
      <x:c r="F5" s="375" t="str">
        <x:v>Control</x:v>
      </x:c>
      <x:c r="G5" s="375" t="str">
        <x:v>Result</x:v>
      </x:c>
      <x:c r="H5" s="375" t="str">
        <x:v>Evidence</x:v>
      </x:c>
    </x:row>
    <x:row r="6" ht="15" hidden="0" customHeight="1">
      <x:c r="A6" s="665" t="str">
        <x:v>Overall assessment</x:v>
      </x:c>
      <x:c r="B6" s="477" t="str">
        <x:v>Share with caveats</x:v>
      </x:c>
      <x:c r="C6" s="360"/>
      <x:c r="D6" s="360"/>
      <x:c r="E6" s="360"/>
      <x:c r="F6" s="371" t="str">
        <x:v>Required fields</x:v>
      </x:c>
      <x:c r="G6" s="371" t="str">
        <x:v>PASS</x:v>
      </x:c>
      <x:c r="H6" s="371" t="str">
        <x:v>0 required-field blanks</x:v>
      </x:c>
    </x:row>
    <x:row r="7" ht="24" hidden="0" customHeight="1">
      <x:c r="A7" s="665" t="str">
        <x:v>Legacy series</x:v>
      </x:c>
      <x:c r="B7" s="477" t="str">
        <x:v>Comparable within documented methodology versions</x:v>
      </x:c>
      <x:c r="C7" s="360"/>
      <x:c r="D7" s="360"/>
      <x:c r="E7" s="360"/>
      <x:c r="F7" s="371" t="str">
        <x:v>Duplicates</x:v>
      </x:c>
      <x:c r="G7" s="371" t="str">
        <x:v>PASS</x:v>
      </x:c>
      <x:c r="H7" s="371" t="str">
        <x:v>0 duplicate composite keys</x:v>
      </x:c>
    </x:row>
    <x:row r="8" ht="24" hidden="0" customHeight="1">
      <x:c r="A8" s="665" t="str">
        <x:v>Post-change period</x:v>
      </x:c>
      <x:c r="B8" s="477" t="str">
        <x:v>New baseline; two-month partial period</x:v>
      </x:c>
      <x:c r="C8" s="360"/>
      <x:c r="D8" s="360"/>
      <x:c r="E8" s="360"/>
      <x:c r="F8" s="371" t="str">
        <x:v>SIRS reconciliation</x:v>
      </x:c>
      <x:c r="G8" s="371" t="str">
        <x:v>PASS</x:v>
      </x:c>
      <x:c r="H8" s="371" t="str">
        <x:v>80/80 rows reconcile</x:v>
      </x:c>
    </x:row>
    <x:row r="9" ht="24" hidden="0" customHeight="1">
      <x:c r="A9" s="666" t="str">
        <x:v>Power BI</x:v>
      </x:c>
      <x:c r="B9" s="483" t="str">
        <x:v>Dashboard in progress</x:v>
      </x:c>
      <x:c r="C9" s="360"/>
      <x:c r="D9" s="360"/>
      <x:c r="E9" s="360"/>
      <x:c r="F9" s="648" t="str">
        <x:v>Worker Nov–Dec</x:v>
      </x:c>
      <x:c r="G9" s="648" t="str">
        <x:v>FAIL retained</x:v>
      </x:c>
      <x:c r="H9" s="648" t="str">
        <x:v>17 calculated vs 9 published; quarantined</x:v>
      </x:c>
    </x:row>
    <x:row r="10" ht="15" hidden="0" customHeight="1">
      <x:c r="A10" s="360"/>
      <x:c r="B10" s="360"/>
      <x:c r="C10" s="360"/>
      <x:c r="D10" s="360"/>
      <x:c r="E10" s="360"/>
      <x:c r="F10" s="360"/>
      <x:c r="G10" s="360"/>
      <x:c r="H10" s="360"/>
    </x:row>
    <x:row r="11" ht="15" hidden="0" customHeight="1">
      <x:c r="A11" s="658" t="str">
        <x:v>Complaints received — non-overlapping totals</x:v>
      </x:c>
      <x:c r="B11" s="658"/>
      <x:c r="C11" s="658"/>
      <x:c r="D11" s="658"/>
      <x:c r="E11" s="360"/>
      <x:c r="F11" s="658" t="str">
        <x:v>Supporting indicators</x:v>
      </x:c>
      <x:c r="G11" s="658"/>
      <x:c r="H11" s="658"/>
    </x:row>
    <x:row r="12" ht="15" hidden="0" customHeight="1">
      <x:c r="A12" s="375" t="str">
        <x:v>Reporting period</x:v>
      </x:c>
      <x:c r="B12" s="375" t="str">
        <x:v>Complaints received</x:v>
      </x:c>
      <x:c r="C12" s="375" t="str">
        <x:v>Change</x:v>
      </x:c>
      <x:c r="D12" s="375" t="str">
        <x:v>Interpretation</x:v>
      </x:c>
      <x:c r="E12" s="360"/>
      <x:c r="F12" s="375" t="str">
        <x:v>Indicator</x:v>
      </x:c>
      <x:c r="G12" s="375" t="str">
        <x:v>Value</x:v>
      </x:c>
      <x:c r="H12" s="375" t="str">
        <x:v>Evidence</x:v>
      </x:c>
    </x:row>
    <x:row r="13" ht="15" hidden="0" customHeight="1">
      <x:c r="A13" s="371" t="str">
        <x:v>FY2024-25 Q1</x:v>
      </x:c>
      <x:c r="B13" s="678" t="n">
        <x:f>SUMIFS('Complaints_Clean'!$N$4:$N$298,'Complaints_Clean'!$E$4:$E$298,$A13,'Complaints_Clean'!$I$4:$I$298,"Complaints received",'Complaints_Clean'!$G$4:$G$298,"Residential care")+SUMIFS('Complaints_Clean'!$N$4:$N$298,'Complaints_Clean'!$E$4:$E$298,$A13,'Complaints_Clean'!$I$4:$I$298,"Complaints received",'Complaints_Clean'!$G$4:$G$298,"Home services – combined")+SUMIFS('Complaints_Clean'!$N$4:$N$298,'Complaints_Clean'!$E$4:$E$298,$A13,'Complaints_Clean'!$I$4:$I$298,"Complaints received",'Complaints_Clean'!$G$4:$G$298,"Category 6")+SUMIFS('Complaints_Clean'!$N$4:$N$298,'Complaints_Clean'!$E$4:$E$298,$A13,'Complaints_Clean'!$I$4:$I$298,"Complaints received",'Complaints_Clean'!$G$4:$G$298,"Categories 1–5")</x:f>
        <x:v>2547</x:v>
      </x:c>
      <x:c r="C13" s="371" t="str">
        <x:v>Baseline</x:v>
      </x:c>
      <x:c r="D13" s="371" t="str">
        <x:v>Full-quarter legacy period</x:v>
      </x:c>
      <x:c r="E13" s="360"/>
      <x:c r="F13" s="371" t="str">
        <x:v>Legacy residential top issue: medication management</x:v>
      </x:c>
      <x:c r="G13" s="678" t="n">
        <x:f>SUMIFS('Complaints_Clean'!$N$4:$N$298,'Complaints_Clean'!$G$4:$G$298,"Residential care",'Complaints_Clean'!$I$4:$I$298,"Complaint issue",'Complaints_Clean'!$K$4:$K$298,"Health Care - Medication administration and management")</x:f>
        <x:v>811</x:v>
      </x:c>
      <x:c r="H13" s="371" t="str">
        <x:v>Complaints_Clean</x:v>
      </x:c>
    </x:row>
    <x:row r="14" ht="15" hidden="0" customHeight="1">
      <x:c r="A14" s="371" t="str">
        <x:v>FY2024-25 Q2</x:v>
      </x:c>
      <x:c r="B14" s="678" t="n">
        <x:f>SUMIFS('Complaints_Clean'!$N$4:$N$298,'Complaints_Clean'!$E$4:$E$298,$A14,'Complaints_Clean'!$I$4:$I$298,"Complaints received",'Complaints_Clean'!$G$4:$G$298,"Residential care")+SUMIFS('Complaints_Clean'!$N$4:$N$298,'Complaints_Clean'!$E$4:$E$298,$A14,'Complaints_Clean'!$I$4:$I$298,"Complaints received",'Complaints_Clean'!$G$4:$G$298,"Home services – combined")+SUMIFS('Complaints_Clean'!$N$4:$N$298,'Complaints_Clean'!$E$4:$E$298,$A14,'Complaints_Clean'!$I$4:$I$298,"Complaints received",'Complaints_Clean'!$G$4:$G$298,"Category 6")+SUMIFS('Complaints_Clean'!$N$4:$N$298,'Complaints_Clean'!$E$4:$E$298,$A14,'Complaints_Clean'!$I$4:$I$298,"Complaints received",'Complaints_Clean'!$G$4:$G$298,"Categories 1–5")</x:f>
        <x:v>2455</x:v>
      </x:c>
      <x:c r="C14" s="679" t="n">
        <x:f>(B14-B13)/B13</x:f>
        <x:v>-0.036120926580290535</x:v>
      </x:c>
      <x:c r="D14" s="371" t="str">
        <x:v>Full-quarter legacy period</x:v>
      </x:c>
      <x:c r="E14" s="360"/>
      <x:c r="F14" s="371" t="str">
        <x:v>Legacy home-services top issue: lack of consultation</x:v>
      </x:c>
      <x:c r="G14" s="678" t="n">
        <x:f>SUMIFS('Complaints_Clean'!$N$4:$N$298,'Complaints_Clean'!$G$4:$G$298,"Home services – combined",'Complaints_Clean'!$I$4:$I$298,"Complaint issue",'Complaints_Clean'!$K$4:$K$298,"Consultation and Communication - Lack of consultation/communication")</x:f>
        <x:v>1079</x:v>
      </x:c>
      <x:c r="H14" s="371" t="str">
        <x:v>Complaints_Clean</x:v>
      </x:c>
    </x:row>
    <x:row r="15" ht="15" hidden="0" customHeight="1">
      <x:c r="A15" s="371" t="str">
        <x:v>FY2024-25 Q3</x:v>
      </x:c>
      <x:c r="B15" s="678" t="n">
        <x:f>SUMIFS('Complaints_Clean'!$N$4:$N$298,'Complaints_Clean'!$E$4:$E$298,$A15,'Complaints_Clean'!$I$4:$I$298,"Complaints received",'Complaints_Clean'!$G$4:$G$298,"Residential care")+SUMIFS('Complaints_Clean'!$N$4:$N$298,'Complaints_Clean'!$E$4:$E$298,$A15,'Complaints_Clean'!$I$4:$I$298,"Complaints received",'Complaints_Clean'!$G$4:$G$298,"Home services – combined")+SUMIFS('Complaints_Clean'!$N$4:$N$298,'Complaints_Clean'!$E$4:$E$298,$A15,'Complaints_Clean'!$I$4:$I$298,"Complaints received",'Complaints_Clean'!$G$4:$G$298,"Category 6")+SUMIFS('Complaints_Clean'!$N$4:$N$298,'Complaints_Clean'!$E$4:$E$298,$A15,'Complaints_Clean'!$I$4:$I$298,"Complaints received",'Complaints_Clean'!$G$4:$G$298,"Categories 1–5")</x:f>
        <x:v>2753</x:v>
      </x:c>
      <x:c r="C15" s="679" t="n">
        <x:f>(B15-B14)/B14</x:f>
        <x:v>0.12138492871690428</x:v>
      </x:c>
      <x:c r="D15" s="371" t="str">
        <x:v>Full-quarter legacy period</x:v>
      </x:c>
      <x:c r="E15" s="360"/>
      <x:c r="F15" s="371" t="str">
        <x:v>Post-change Category 6 top subtype: other care planning</x:v>
      </x:c>
      <x:c r="G15" s="678" t="n">
        <x:f>SUMIFS('Complaints_Clean'!$N$4:$N$298,'Complaints_Clean'!$G$4:$G$298,"Category 6",'Complaints_Clean'!$I$4:$I$298,"Complaint concern subtype",'Complaints_Clean'!$K$4:$K$298,"Other care provision and planning")</x:f>
        <x:v>401</x:v>
      </x:c>
      <x:c r="H15" s="371" t="str">
        <x:v>Complaints_Clean</x:v>
      </x:c>
    </x:row>
    <x:row r="16" ht="15" hidden="0" customHeight="1">
      <x:c r="A16" s="371" t="str">
        <x:v>FY2024-25 Q4</x:v>
      </x:c>
      <x:c r="B16" s="678" t="n">
        <x:f>SUMIFS('Complaints_Clean'!$N$4:$N$298,'Complaints_Clean'!$E$4:$E$298,$A16,'Complaints_Clean'!$I$4:$I$298,"Complaints received",'Complaints_Clean'!$G$4:$G$298,"Residential care")+SUMIFS('Complaints_Clean'!$N$4:$N$298,'Complaints_Clean'!$E$4:$E$298,$A16,'Complaints_Clean'!$I$4:$I$298,"Complaints received",'Complaints_Clean'!$G$4:$G$298,"Home services – combined")+SUMIFS('Complaints_Clean'!$N$4:$N$298,'Complaints_Clean'!$E$4:$E$298,$A16,'Complaints_Clean'!$I$4:$I$298,"Complaints received",'Complaints_Clean'!$G$4:$G$298,"Category 6")+SUMIFS('Complaints_Clean'!$N$4:$N$298,'Complaints_Clean'!$E$4:$E$298,$A16,'Complaints_Clean'!$I$4:$I$298,"Complaints received",'Complaints_Clean'!$G$4:$G$298,"Categories 1–5")</x:f>
        <x:v>2903</x:v>
      </x:c>
      <x:c r="C16" s="679" t="n">
        <x:f>(B16-B15)/B15</x:f>
        <x:v>0.05448601525608427</x:v>
      </x:c>
      <x:c r="D16" s="371" t="str">
        <x:v>Full-quarter legacy period</x:v>
      </x:c>
      <x:c r="E16" s="360"/>
      <x:c r="F16" s="371" t="str">
        <x:v>Post-change Categories 1–5 top subtype: other care planning</x:v>
      </x:c>
      <x:c r="G16" s="678" t="n">
        <x:f>SUMIFS('Complaints_Clean'!$N$4:$N$298,'Complaints_Clean'!$G$4:$G$298,"Categories 1–5",'Complaints_Clean'!$I$4:$I$298,"Complaint concern subtype",'Complaints_Clean'!$K$4:$K$298,"Other care provision and planning")</x:f>
        <x:v>511</x:v>
      </x:c>
      <x:c r="H16" s="371" t="str">
        <x:v>Complaints_Clean</x:v>
      </x:c>
    </x:row>
    <x:row r="17" ht="15" hidden="0" customHeight="1">
      <x:c r="A17" s="371" t="str">
        <x:v>FY2025-26 Q2 – Nov-Dec</x:v>
      </x:c>
      <x:c r="B17" s="678" t="n">
        <x:f>SUMIFS('Complaints_Clean'!$N$4:$N$298,'Complaints_Clean'!$E$4:$E$298,$A17,'Complaints_Clean'!$I$4:$I$298,"Complaints received",'Complaints_Clean'!$G$4:$G$298,"Residential care")+SUMIFS('Complaints_Clean'!$N$4:$N$298,'Complaints_Clean'!$E$4:$E$298,$A17,'Complaints_Clean'!$I$4:$I$298,"Complaints received",'Complaints_Clean'!$G$4:$G$298,"Home services – combined")+SUMIFS('Complaints_Clean'!$N$4:$N$298,'Complaints_Clean'!$E$4:$E$298,$A17,'Complaints_Clean'!$I$4:$I$298,"Complaints received",'Complaints_Clean'!$G$4:$G$298,"Category 6")+SUMIFS('Complaints_Clean'!$N$4:$N$298,'Complaints_Clean'!$E$4:$E$298,$A17,'Complaints_Clean'!$I$4:$I$298,"Complaints received",'Complaints_Clean'!$G$4:$G$298,"Categories 1–5")</x:f>
        <x:v>2553</x:v>
      </x:c>
      <x:c r="C17" s="371" t="str">
        <x:v>N/A – partial/new baseline</x:v>
      </x:c>
      <x:c r="D17" s="371" t="str">
        <x:v>Do not compare directly with full quarters</x:v>
      </x:c>
      <x:c r="E17" s="360"/>
      <x:c r="F17" s="371" t="str">
        <x:v>Legacy residential sexual-conduct notifications: Priority 1 share</x:v>
      </x:c>
      <x:c r="G17" s="679" t="n">
        <x:f>SUMIFS('SIRS_Incidents_Clean'!$H$2:$H$81,'SIRS_Incidents_Clean'!$F$2:$F$81,"Residential_Care",'SIRS_Incidents_Clean'!$G$2:$G$81,"Unlawful sexual contact, or inappropriate sexual conduct",'SIRS_Incidents_Clean'!$M$2:$M$81,"Legacy_SIRS_v1")/SUMIFS('SIRS_Incidents_Clean'!$J$2:$J$81,'SIRS_Incidents_Clean'!$F$2:$F$81,"Residential_Care",'SIRS_Incidents_Clean'!$G$2:$G$81,"Unlawful sexual contact, or inappropriate sexual conduct",'SIRS_Incidents_Clean'!$M$2:$M$81,"Legacy_SIRS_v1")</x:f>
        <x:v>0.9940652818991098</x:v>
      </x:c>
      <x:c r="H17" s="371" t="str">
        <x:v>SIRS_Incidents_Clean</x:v>
      </x:c>
    </x:row>
    <x:row r="18" ht="15" hidden="0" customHeight="1">
      <x:c r="A18" s="360"/>
      <x:c r="B18" s="360"/>
      <x:c r="C18" s="360"/>
      <x:c r="D18" s="360"/>
      <x:c r="E18" s="360"/>
      <x:c r="F18" s="371" t="str">
        <x:v>Q4 legacy worker investigation cases</x:v>
      </x:c>
      <x:c r="G18" s="678" t="n">
        <x:f>SUMIFS('Worker_Regulation_Clean'!$I$2:$I$96,'Worker_Regulation_Clean'!$D$2:$D$96,"Q4 2024-25",'Worker_Regulation_Clean'!$F$2:$F$96,"Investigation case")</x:f>
        <x:v>130</x:v>
      </x:c>
      <x:c r="H18" s="371" t="str">
        <x:v>Worker_Regulation_Clean</x:v>
      </x:c>
    </x:row>
    <x:row r="19" ht="15" hidden="0" customHeight="1">
      <x:c r="A19" s="360"/>
      <x:c r="B19" s="360"/>
      <x:c r="C19" s="360"/>
      <x:c r="D19" s="360"/>
      <x:c r="E19" s="360"/>
      <x:c r="F19" s="360"/>
      <x:c r="G19" s="360"/>
      <x:c r="H19" s="360"/>
    </x:row>
    <x:row r="20" ht="15" hidden="0" customHeight="1">
      <x:c r="A20" s="658" t="str">
        <x:v>Key findings and recommended actions</x:v>
      </x:c>
      <x:c r="B20" s="658"/>
      <x:c r="C20" s="658"/>
      <x:c r="D20" s="658"/>
      <x:c r="E20" s="658"/>
      <x:c r="F20" s="658"/>
      <x:c r="G20" s="658"/>
      <x:c r="H20" s="658"/>
    </x:row>
    <x:row r="21" ht="15" hidden="0" customHeight="1">
      <x:c r="A21" s="375" t="str">
        <x:v>Area</x:v>
      </x:c>
      <x:c r="B21" s="375" t="str">
        <x:v>Evidence</x:v>
      </x:c>
      <x:c r="C21" s="375" t="str">
        <x:v>Interpretation</x:v>
      </x:c>
      <x:c r="D21" s="375" t="str">
        <x:v>Recommended action</x:v>
      </x:c>
      <x:c r="E21" s="360"/>
      <x:c r="F21" s="360"/>
      <x:c r="G21" s="360"/>
      <x:c r="H21" s="360"/>
    </x:row>
    <x:row r="22" ht="24" hidden="0" customHeight="1">
      <x:c r="A22" s="371" t="str">
        <x:v>Complaints volume</x:v>
      </x:c>
      <x:c r="B22" s="371" t="str">
        <x:v>Legacy complaints fell in Q2, then increased in Q3 and Q4.</x:v>
      </x:c>
      <x:c r="C22" s="371" t="str">
        <x:v>The aggregate data show a reported-volume change, not its cause.</x:v>
      </x:c>
      <x:c r="D22" s="371" t="str">
        <x:v>Investigate rates, providers and service volumes before drawing a quality conclusion.</x:v>
      </x:c>
      <x:c r="E22" s="360"/>
      <x:c r="F22" s="360"/>
      <x:c r="G22" s="360"/>
      <x:c r="H22" s="360"/>
    </x:row>
    <x:row r="23" ht="48" hidden="0" customHeight="1">
      <x:c r="A23" s="371" t="str">
        <x:v>Complaint themes</x:v>
      </x:c>
      <x:c r="B23" s="371" t="str">
        <x:v>Medication management led residential legacy issues; lack of consultation led home-services issues.</x:v>
      </x:c>
      <x:c r="C23" s="371" t="str">
        <x:v>Persistent themes may indicate recurring areas for regulatory attention.</x:v>
      </x:c>
      <x:c r="D23" s="371" t="str">
        <x:v>Segment by provider, location, ownership and complaint outcome where data become available.</x:v>
      </x:c>
      <x:c r="E23" s="360"/>
      <x:c r="F23" s="360"/>
      <x:c r="G23" s="360"/>
      <x:c r="H23" s="360"/>
    </x:row>
    <x:row r="24" ht="36" hidden="0" customHeight="1">
      <x:c r="A24" s="371" t="str">
        <x:v>Post-change baseline</x:v>
      </x:c>
      <x:c r="B24" s="371" t="str">
        <x:v>Other care provision and planning was the top subtype for Category 6 and Categories 1–5.</x:v>
      </x:c>
      <x:c r="C24" s="371" t="str">
        <x:v>The theme is prominent, but post-change taxonomy is not numerically equivalent to legacy categories.</x:v>
      </x:c>
      <x:c r="D24" s="371" t="str">
        <x:v>Track it as a new baseline and do not splice it into the legacy trend.</x:v>
      </x:c>
      <x:c r="E24" s="360"/>
      <x:c r="F24" s="360"/>
      <x:c r="G24" s="360"/>
      <x:c r="H24" s="360"/>
    </x:row>
    <x:row r="25" ht="24" hidden="0" customHeight="1">
      <x:c r="A25" s="371" t="str">
        <x:v>SIRS urgency</x:v>
      </x:c>
      <x:c r="B25" s="371" t="str">
        <x:v>Some incident types have very high Priority 1 shares.</x:v>
      </x:c>
      <x:c r="C25" s="371" t="str">
        <x:v>Priority share reflects urgency classification, not the frequency of incidents.</x:v>
      </x:c>
      <x:c r="D25" s="371" t="str">
        <x:v>Present volume and Priority 1 share together to avoid misleading interpretation.</x:v>
      </x:c>
      <x:c r="E25" s="360"/>
      <x:c r="F25" s="360"/>
      <x:c r="G25" s="360"/>
      <x:c r="H25" s="360"/>
    </x:row>
    <x:row r="26" ht="36" hidden="0" customHeight="1">
      <x:c r="A26" s="371" t="str">
        <x:v>Worker regulation</x:v>
      </x:c>
      <x:c r="B26" s="371" t="str">
        <x:v>Q4 recorded 130 investigation cases; the method expanded from Q3. Nov–Dec does not reconcile.</x:v>
      </x:c>
      <x:c r="C26" s="371" t="str">
        <x:v>The series contains a methodology break and an unresolved partial-period exception.</x:v>
      </x:c>
      <x:c r="D26" s="371" t="str">
        <x:v>Annotate the Q3 break and quarantine the Nov–Dec investigation KPI until confirmed.</x:v>
      </x:c>
      <x:c r="E26" s="360"/>
      <x:c r="F26" s="360"/>
      <x:c r="G26" s="360"/>
      <x:c r="H26" s="360"/>
    </x:row>
    <x:row r="27" ht="36" hidden="0" customHeight="1">
      <x:c r="A27" s="371" t="str">
        <x:v>Comparability</x:v>
      </x:c>
      <x:c r="B27" s="371" t="str">
        <x:v>The Nov–Dec 2025 period covers two months under new systems and classifications.</x:v>
      </x:c>
      <x:c r="C27" s="371" t="str">
        <x:v>Direct quarter-on-quarter comparison would mix period lengths and definitions.</x:v>
      </x:c>
      <x:c r="D27" s="371" t="str">
        <x:v>Report legacy trends separately and treat post-change data as a new baseline.</x:v>
      </x:c>
      <x:c r="E27" s="360"/>
      <x:c r="F27" s="360"/>
      <x:c r="G27" s="360"/>
      <x:c r="H27" s="360"/>
    </x:row>
    <x:row r="28" ht="15" hidden="0" customHeight="1">
      <x:c r="A28" s="360"/>
      <x:c r="B28" s="360"/>
      <x:c r="C28" s="360"/>
      <x:c r="D28" s="360"/>
      <x:c r="E28" s="360"/>
      <x:c r="F28" s="360"/>
      <x:c r="G28" s="360"/>
      <x:c r="H28" s="360"/>
    </x:row>
    <x:row r="29" ht="15" hidden="0" customHeight="1">
      <x:c r="A29" s="658" t="str">
        <x:v>Analyst conclusion</x:v>
      </x:c>
      <x:c r="B29" s="658"/>
      <x:c r="C29" s="658"/>
      <x:c r="D29" s="658"/>
      <x:c r="E29" s="658"/>
      <x:c r="F29" s="658"/>
      <x:c r="G29" s="658"/>
      <x:c r="H29" s="658"/>
    </x:row>
    <x:row r="30">
      <x:c r="A30" s="669" t="str">
        <x:v>The project provides reliable within-era signals for complaints, SIRS incidents and worker-regulation activity, supported by documented lineage and quality checks. The November–December 2025 data should be presented as a separate post-change baseline. One worker-regulation reconciliation exception remains open and is quarantined from KPI and trend conclusions rather than being altered or silently removed.</x:v>
      </x:c>
      <x:c r="B30" s="670"/>
      <x:c r="C30" s="670"/>
      <x:c r="D30" s="670"/>
      <x:c r="E30" s="670"/>
      <x:c r="F30" s="670"/>
      <x:c r="G30" s="670"/>
      <x:c r="H30" s="671"/>
    </x:row>
    <x:row r="31">
      <x:c r="A31" s="672"/>
      <x:c r="B31" s="655"/>
      <x:c r="C31" s="655"/>
      <x:c r="D31" s="655"/>
      <x:c r="E31" s="655"/>
      <x:c r="F31" s="655"/>
      <x:c r="G31" s="655"/>
      <x:c r="H31" s="673"/>
    </x:row>
    <x:row r="32">
      <x:c r="A32" s="674"/>
      <x:c r="B32" s="675"/>
      <x:c r="C32" s="675"/>
      <x:c r="D32" s="675"/>
      <x:c r="E32" s="675"/>
      <x:c r="F32" s="675"/>
      <x:c r="G32" s="675"/>
      <x:c r="H32" s="676"/>
    </x:row>
  </x:sheetData>
  <x:mergeCells>
    <x:mergeCell ref="A1:H1"/>
    <x:mergeCell ref="A2:H2"/>
    <x:mergeCell ref="A4:D4"/>
    <x:mergeCell ref="F4:H4"/>
    <x:mergeCell ref="A11:D11"/>
    <x:mergeCell ref="F11:H11"/>
    <x:mergeCell ref="A20:H20"/>
    <x:mergeCell ref="A29:H29"/>
    <x:mergeCell ref="A30:H3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8.85546875" defaultRowHeight="15"/>
  <x:cols>
    <x:col min="1" max="1" width="40" style="61" hidden="0" customWidth="1"/>
    <x:col min="2" max="2" width="13" style="61" hidden="0" customWidth="1"/>
    <x:col min="3" max="3" width="13" style="61" hidden="0" customWidth="1"/>
    <x:col min="4" max="4" width="13" style="61" hidden="0" customWidth="1"/>
    <x:col min="5" max="5" width="13" style="61" hidden="0" customWidth="1"/>
    <x:col min="6" max="7" width="8.85546875" style="61" customWidth="1"/>
    <x:col min="8" max="16384" width="8.85546875" style="61" customWidth="0"/>
    <x:col min="6" max="6" width="16" hidden="0" customWidth="1"/>
  </x:cols>
  <x:sheetData>
    <x:row r="1" ht="44" customHeight="1">
      <x:c r="A1" s="2779" t="s">
        <x:v>485</x:v>
      </x:c>
      <x:c r="B1" s="2777" t="s">
        <x:v>486</x:v>
      </x:c>
      <x:c r="C1" s="2777" t="s">
        <x:v>487</x:v>
      </x:c>
      <x:c r="D1" s="2777" t="s">
        <x:v>488</x:v>
      </x:c>
      <x:c r="E1" s="2777" t="s">
        <x:v>489</x:v>
      </x:c>
      <x:c r="F1" s="2778" t="str">
        <x:v>Nov - Dec
2025–26</x:v>
      </x:c>
    </x:row>
    <x:row r="2" ht="16.5" customHeight="1">
      <x:c r="A2" s="849" t="s">
        <x:v>490</x:v>
      </x:c>
      <x:c r="B2" s="850"/>
      <x:c r="C2" s="850"/>
      <x:c r="D2" s="850"/>
      <x:c r="E2" s="850"/>
      <x:c r="F2" s="851"/>
    </x:row>
    <x:row r="3" ht="16.5" customHeight="1">
      <x:c r="A3" s="897" t="s">
        <x:v>416</x:v>
      </x:c>
      <x:c r="B3" s="898">
        <x:v>24</x:v>
      </x:c>
      <x:c r="C3" s="898">
        <x:v>29</x:v>
      </x:c>
      <x:c r="D3" s="898">
        <x:v>22</x:v>
      </x:c>
      <x:c r="E3" s="899">
        <x:v>31</x:v>
      </x:c>
      <x:c r="F3" s="900">
        <x:v>12</x:v>
      </x:c>
    </x:row>
    <x:row r="4" ht="16.5" customHeight="1">
      <x:c r="A4" s="897" t="s">
        <x:v>349</x:v>
      </x:c>
      <x:c r="B4" s="898">
        <x:v>0</x:v>
      </x:c>
      <x:c r="C4" s="898">
        <x:v>0</x:v>
      </x:c>
      <x:c r="D4" s="898">
        <x:v>1</x:v>
      </x:c>
      <x:c r="E4" s="899">
        <x:v>2</x:v>
      </x:c>
      <x:c r="F4" s="900">
        <x:v>1</x:v>
      </x:c>
    </x:row>
    <x:row r="5" ht="16.5" customHeight="1">
      <x:c r="A5" s="897" t="s">
        <x:v>491</x:v>
      </x:c>
      <x:c r="B5" s="898">
        <x:v>5</x:v>
      </x:c>
      <x:c r="C5" s="898">
        <x:v>0</x:v>
      </x:c>
      <x:c r="D5" s="898">
        <x:v>3</x:v>
      </x:c>
      <x:c r="E5" s="899">
        <x:v>2</x:v>
      </x:c>
      <x:c r="F5" s="900">
        <x:v>0</x:v>
      </x:c>
    </x:row>
    <x:row r="6" ht="16.5" customHeight="1">
      <x:c r="A6" s="897" t="s">
        <x:v>492</x:v>
      </x:c>
      <x:c r="B6" s="898">
        <x:v>0</x:v>
      </x:c>
      <x:c r="C6" s="898">
        <x:v>1</x:v>
      </x:c>
      <x:c r="D6" s="898">
        <x:v>0</x:v>
      </x:c>
      <x:c r="E6" s="899">
        <x:v>0</x:v>
      </x:c>
      <x:c r="F6" s="900">
        <x:v>0</x:v>
      </x:c>
    </x:row>
    <x:row r="7" ht="16.5" customHeight="1">
      <x:c r="A7" s="897" t="s">
        <x:v>353</x:v>
      </x:c>
      <x:c r="B7" s="898">
        <x:v>0</x:v>
      </x:c>
      <x:c r="C7" s="898">
        <x:v>0</x:v>
      </x:c>
      <x:c r="D7" s="898">
        <x:v>0</x:v>
      </x:c>
      <x:c r="E7" s="899">
        <x:v>0</x:v>
      </x:c>
      <x:c r="F7" s="900">
        <x:v>0</x:v>
      </x:c>
    </x:row>
    <x:row r="8" ht="16.5" customHeight="1">
      <x:c r="A8" s="897" t="s">
        <x:v>493</x:v>
      </x:c>
      <x:c r="B8" s="898">
        <x:v>3</x:v>
      </x:c>
      <x:c r="C8" s="898">
        <x:v>0</x:v>
      </x:c>
      <x:c r="D8" s="898">
        <x:v>0</x:v>
      </x:c>
      <x:c r="E8" s="899">
        <x:v>0</x:v>
      </x:c>
      <x:c r="F8" s="900">
        <x:v>0</x:v>
      </x:c>
    </x:row>
    <x:row r="9" ht="16.5" customHeight="1">
      <x:c r="A9" s="897" t="s">
        <x:v>494</x:v>
      </x:c>
      <x:c r="B9" s="898">
        <x:v>4</x:v>
      </x:c>
      <x:c r="C9" s="898">
        <x:v>2</x:v>
      </x:c>
      <x:c r="D9" s="898">
        <x:v>1</x:v>
      </x:c>
      <x:c r="E9" s="899">
        <x:v>8</x:v>
      </x:c>
      <x:c r="F9" s="900">
        <x:v>2</x:v>
      </x:c>
    </x:row>
    <x:row r="10" ht="16.5" customHeight="1">
      <x:c r="A10" s="897" t="s">
        <x:v>354</x:v>
      </x:c>
      <x:c r="B10" s="898">
        <x:v>42</x:v>
      </x:c>
      <x:c r="C10" s="898">
        <x:v>34</x:v>
      </x:c>
      <x:c r="D10" s="898">
        <x:v>28</x:v>
      </x:c>
      <x:c r="E10" s="899">
        <x:v>12</x:v>
      </x:c>
      <x:c r="F10" s="900">
        <x:v>0</x:v>
      </x:c>
    </x:row>
    <x:row r="11" ht="16.5" customHeight="1">
      <x:c r="A11" s="897" t="s">
        <x:v>495</x:v>
      </x:c>
      <x:c r="B11" s="898">
        <x:v>2</x:v>
      </x:c>
      <x:c r="C11" s="898">
        <x:v>0</x:v>
      </x:c>
      <x:c r="D11" s="898">
        <x:v>5</x:v>
      </x:c>
      <x:c r="E11" s="899">
        <x:v>4</x:v>
      </x:c>
      <x:c r="F11" s="900">
        <x:v>0</x:v>
      </x:c>
    </x:row>
    <x:row r="12" ht="16.5" customHeight="1">
      <x:c r="A12" s="897" t="s">
        <x:v>496</x:v>
      </x:c>
      <x:c r="B12" s="898">
        <x:v>80</x:v>
      </x:c>
      <x:c r="C12" s="898">
        <x:v>66</x:v>
      </x:c>
      <x:c r="D12" s="898">
        <x:v>60</x:v>
      </x:c>
      <x:c r="E12" s="898" t="n">
        <x:f>SUM(E3:E11)</x:f>
        <x:v>59</x:v>
      </x:c>
      <x:c r="F12" s="900" t="n">
        <x:f>SUM(F3:F11)</x:f>
        <x:v>15</x:v>
      </x:c>
    </x:row>
    <x:row r="13" ht="18" customHeight="1">
      <x:c r="A13" s="849" t="s">
        <x:v>497</x:v>
      </x:c>
      <x:c r="B13" s="850"/>
      <x:c r="C13" s="850"/>
      <x:c r="D13" s="850"/>
      <x:c r="E13" s="850"/>
      <x:c r="F13" s="856"/>
    </x:row>
    <x:row r="14" ht="16.5" customHeight="1">
      <x:c r="A14" s="897" t="s">
        <x:v>498</x:v>
      </x:c>
      <x:c r="B14" s="898">
        <x:v>24</x:v>
      </x:c>
      <x:c r="C14" s="898">
        <x:v>16</x:v>
      </x:c>
      <x:c r="D14" s="898">
        <x:v>9</x:v>
      </x:c>
      <x:c r="E14" s="898">
        <x:v>70</x:v>
      </x:c>
      <x:c r="F14" s="900">
        <x:v>7</x:v>
      </x:c>
    </x:row>
    <x:row r="15" ht="16.5" customHeight="1">
      <x:c r="A15" s="897" t="s">
        <x:v>499</x:v>
      </x:c>
      <x:c r="B15" s="898">
        <x:v>0</x:v>
      </x:c>
      <x:c r="C15" s="898">
        <x:v>0</x:v>
      </x:c>
      <x:c r="D15" s="898">
        <x:v>0</x:v>
      </x:c>
      <x:c r="E15" s="898">
        <x:v>0</x:v>
      </x:c>
      <x:c r="F15" s="900">
        <x:v>0</x:v>
      </x:c>
    </x:row>
    <x:row r="16" ht="16.5" customHeight="1">
      <x:c r="A16" s="897" t="s">
        <x:v>500</x:v>
      </x:c>
      <x:c r="B16" s="898">
        <x:v>0</x:v>
      </x:c>
      <x:c r="C16" s="898">
        <x:v>0</x:v>
      </x:c>
      <x:c r="D16" s="898">
        <x:v>0</x:v>
      </x:c>
      <x:c r="E16" s="898">
        <x:v>0</x:v>
      </x:c>
      <x:c r="F16" s="900">
        <x:v>0</x:v>
      </x:c>
    </x:row>
    <x:row r="17" ht="16.5" customHeight="1">
      <x:c r="A17" s="897" t="s">
        <x:v>501</x:v>
      </x:c>
      <x:c r="B17" s="898">
        <x:v>0</x:v>
      </x:c>
      <x:c r="C17" s="898">
        <x:v>0</x:v>
      </x:c>
      <x:c r="D17" s="898">
        <x:v>0</x:v>
      </x:c>
      <x:c r="E17" s="898">
        <x:v>0</x:v>
      </x:c>
      <x:c r="F17" s="900">
        <x:v>0</x:v>
      </x:c>
    </x:row>
    <x:row r="18" ht="16.5" customHeight="1">
      <x:c r="A18" s="897" t="s">
        <x:v>502</x:v>
      </x:c>
      <x:c r="B18" s="898">
        <x:v>4</x:v>
      </x:c>
      <x:c r="C18" s="898">
        <x:v>4</x:v>
      </x:c>
      <x:c r="D18" s="898">
        <x:v>2</x:v>
      </x:c>
      <x:c r="E18" s="898">
        <x:v>0</x:v>
      </x:c>
      <x:c r="F18" s="900">
        <x:v>0</x:v>
      </x:c>
    </x:row>
    <x:row r="19" ht="16.5" customHeight="1">
      <x:c r="A19" s="897" t="s">
        <x:v>503</x:v>
      </x:c>
      <x:c r="B19" s="898">
        <x:v>1</x:v>
      </x:c>
      <x:c r="C19" s="898">
        <x:v>2</x:v>
      </x:c>
      <x:c r="D19" s="898">
        <x:v>4</x:v>
      </x:c>
      <x:c r="E19" s="898">
        <x:v>1</x:v>
      </x:c>
      <x:c r="F19" s="900">
        <x:v>0</x:v>
      </x:c>
    </x:row>
    <x:row r="20" ht="16.5" customHeight="1">
      <x:c r="A20" s="897" t="s">
        <x:v>504</x:v>
      </x:c>
      <x:c r="B20" s="898">
        <x:v>29</x:v>
      </x:c>
      <x:c r="C20" s="898">
        <x:v>22</x:v>
      </x:c>
      <x:c r="D20" s="898">
        <x:v>15</x:v>
      </x:c>
      <x:c r="E20" s="898">
        <x:v>71</x:v>
      </x:c>
      <x:c r="F20" s="900">
        <x:v>2</x:v>
      </x:c>
    </x:row>
    <x:row r="21" ht="13.5" customHeight="1">
      <x:c r="A21" s="857"/>
      <x:c r="B21" s="850"/>
      <x:c r="C21" s="850"/>
      <x:c r="D21" s="850"/>
      <x:c r="E21" s="850"/>
      <x:c r="F21" s="858"/>
    </x:row>
    <x:row r="22" ht="16.5" customHeight="1">
      <x:c r="A22" s="897" t="s">
        <x:v>505</x:v>
      </x:c>
      <x:c r="B22" s="898">
        <x:v>109</x:v>
      </x:c>
      <x:c r="C22" s="898">
        <x:v>88</x:v>
      </x:c>
      <x:c r="D22" s="898">
        <x:v>75</x:v>
      </x:c>
      <x:c r="E22" s="898">
        <x:v>130</x:v>
      </x:c>
      <x:c r="F22" s="900" t="n">
        <x:f>SUM(F14:F20)</x:f>
        <x:v>9</x:v>
      </x:c>
    </x:row>
    <x:row r="23" ht="16.5" customHeight="1">
      <x:c r="A23" s="916" t="s">
        <x:v>506</x:v>
      </x:c>
      <x:c r="B23" s="917"/>
      <x:c r="C23" s="918"/>
      <x:c r="D23" s="918"/>
      <x:c r="E23" s="918"/>
      <x:c r="F23" s="918"/>
    </x:row>
    <x:row r="24" ht="16.5" customHeight="1">
      <x:c r="A24" s="916" t="s">
        <x:v>507</x:v>
      </x:c>
      <x:c r="B24" s="917"/>
      <x:c r="C24" s="918"/>
      <x:c r="D24" s="918"/>
      <x:c r="E24" s="918"/>
      <x:c r="F24" s="918"/>
    </x:row>
    <x:row r="25" ht="409.6000061035156" customHeight="1">
      <x:c r="A25" s="862" t="s">
        <x:v>508</x:v>
      </x:c>
      <x:c r="B25" s="860"/>
      <x:c r="C25" s="861"/>
      <x:c r="D25" s="861"/>
      <x:c r="E25" s="861"/>
      <x:c r="F25" s="858"/>
    </x:row>
    <x:row r="26" ht="13.5" customHeight="1">
      <x:c r="A26" s="863"/>
      <x:c r="B26" s="860"/>
      <x:c r="C26" s="861"/>
      <x:c r="D26" s="861"/>
      <x:c r="E26" s="861"/>
      <x:c r="F26" s="858"/>
    </x:row>
    <x:row r="27" ht="13.5" customHeight="1">
      <x:c r="A27" s="863"/>
      <x:c r="B27" s="860"/>
      <x:c r="C27" s="861"/>
      <x:c r="D27" s="861"/>
      <x:c r="E27" s="861"/>
      <x:c r="F27" s="858"/>
    </x:row>
    <x:row r="28" ht="53.25" customHeight="1">
      <x:c r="A28" s="930" t="s">
        <x:v>509</x:v>
      </x:c>
      <x:c r="B28" s="931" t="s">
        <x:v>486</x:v>
      </x:c>
      <x:c r="C28" s="931" t="s">
        <x:v>510</x:v>
      </x:c>
      <x:c r="D28" s="931" t="s">
        <x:v>488</x:v>
      </x:c>
      <x:c r="E28" s="931" t="s">
        <x:v>489</x:v>
      </x:c>
      <x:c r="F28" s="932" t="s">
        <x:v>511</x:v>
      </x:c>
    </x:row>
    <x:row r="29" ht="16.5" customHeight="1">
      <x:c r="A29" s="897" t="s">
        <x:v>512</x:v>
      </x:c>
      <x:c r="B29" s="898">
        <x:v>30</x:v>
      </x:c>
      <x:c r="C29" s="898">
        <x:v>33</x:v>
      </x:c>
      <x:c r="D29" s="898">
        <x:v>19</x:v>
      </x:c>
      <x:c r="E29" s="898">
        <x:v>16</x:v>
      </x:c>
      <x:c r="F29" s="900">
        <x:v>9</x:v>
      </x:c>
    </x:row>
    <x:row r="30" ht="16.5" customHeight="1">
      <x:c r="A30" s="897" t="s">
        <x:v>513</x:v>
      </x:c>
      <x:c r="B30" s="898">
        <x:v>27</x:v>
      </x:c>
      <x:c r="C30" s="898">
        <x:v>20</x:v>
      </x:c>
      <x:c r="D30" s="898">
        <x:v>24</x:v>
      </x:c>
      <x:c r="E30" s="898">
        <x:v>30</x:v>
      </x:c>
      <x:c r="F30" s="900">
        <x:v>5</x:v>
      </x:c>
    </x:row>
    <x:row r="31" ht="16.5" customHeight="1">
      <x:c r="A31" s="897" t="s">
        <x:v>514</x:v>
      </x:c>
      <x:c r="B31" s="898" t="n">
        <x:f>SUM(B29:B30)</x:f>
        <x:v>57</x:v>
      </x:c>
      <x:c r="C31" s="898" t="n">
        <x:f>SUM(C29:C30)</x:f>
        <x:v>53</x:v>
      </x:c>
      <x:c r="D31" s="898" t="n">
        <x:f>SUM(D29:D30)</x:f>
        <x:v>43</x:v>
      </x:c>
      <x:c r="E31" s="898" t="n">
        <x:f>SUM(E29:E30)</x:f>
        <x:v>46</x:v>
      </x:c>
      <x:c r="F31" s="900" t="n">
        <x:f>SUM(F29:F30)</x:f>
        <x:v>14</x:v>
      </x:c>
    </x:row>
    <x:row r="32" ht="16.5" customHeight="1">
      <x:c r="A32" s="916" t="s">
        <x:v>506</x:v>
      </x:c>
      <x:c r="B32" s="898"/>
      <x:c r="C32" s="918"/>
      <x:c r="D32" s="918"/>
      <x:c r="E32" s="918"/>
      <x:c r="F32" s="900"/>
    </x:row>
    <x:row r="33" ht="16.5" customHeight="1">
      <x:c r="A33" s="916" t="s">
        <x:v>515</x:v>
      </x:c>
      <x:c r="B33" s="898"/>
      <x:c r="C33" s="918"/>
      <x:c r="D33" s="918"/>
      <x:c r="E33" s="918"/>
      <x:c r="F33" s="900"/>
    </x:row>
    <x:row r="34" ht="16.5" customHeight="1">
      <x:c r="A34" s="863"/>
      <x:c r="B34" s="853"/>
      <x:c r="C34" s="861"/>
      <x:c r="D34" s="861"/>
      <x:c r="E34" s="861"/>
      <x:c r="F34" s="851"/>
    </x:row>
    <x:row r="35" ht="13.5" customHeight="1">
      <x:c r="A35" s="867"/>
      <x:c r="B35" s="853"/>
      <x:c r="C35" s="861"/>
      <x:c r="D35" s="861"/>
      <x:c r="E35" s="861"/>
      <x:c r="F35" s="858"/>
    </x:row>
    <x:row r="36" ht="32.25" customHeight="1">
      <x:c r="A36" s="930" t="s">
        <x:v>516</x:v>
      </x:c>
      <x:c r="B36" s="931" t="s">
        <x:v>486</x:v>
      </x:c>
      <x:c r="C36" s="931" t="s">
        <x:v>510</x:v>
      </x:c>
      <x:c r="D36" s="931" t="s">
        <x:v>488</x:v>
      </x:c>
      <x:c r="E36" s="931" t="s">
        <x:v>489</x:v>
      </x:c>
      <x:c r="F36" s="931" t="s">
        <x:v>511</x:v>
      </x:c>
    </x:row>
    <x:row r="37" ht="16.5" customHeight="1">
      <x:c r="A37" s="930" t="s">
        <x:v>517</x:v>
      </x:c>
      <x:c r="B37" s="898">
        <x:v>12</x:v>
      </x:c>
      <x:c r="C37" s="898">
        <x:v>29</x:v>
      </x:c>
      <x:c r="D37" s="898">
        <x:v>17</x:v>
      </x:c>
      <x:c r="E37" s="898">
        <x:v>13</x:v>
      </x:c>
      <x:c r="F37" s="900">
        <x:v>4</x:v>
      </x:c>
    </x:row>
    <x:row r="38" ht="16.5" customHeight="1">
      <x:c r="A38" s="930" t="s">
        <x:v>518</x:v>
      </x:c>
      <x:c r="B38" s="898">
        <x:v>17</x:v>
      </x:c>
      <x:c r="C38" s="898">
        <x:v>13</x:v>
      </x:c>
      <x:c r="D38" s="898">
        <x:v>22</x:v>
      </x:c>
      <x:c r="E38" s="898">
        <x:v>21</x:v>
      </x:c>
      <x:c r="F38" s="900">
        <x:v>9</x:v>
      </x:c>
    </x:row>
    <x:row r="39" ht="16.5" customHeight="1">
      <x:c r="A39" s="930" t="s">
        <x:v>519</x:v>
      </x:c>
      <x:c r="B39" s="898" t="n">
        <x:f>SUM(B37:B38)</x:f>
        <x:v>29</x:v>
      </x:c>
      <x:c r="C39" s="898" t="n">
        <x:f>SUM(C37:C38)</x:f>
        <x:v>42</x:v>
      </x:c>
      <x:c r="D39" s="898" t="n">
        <x:f>SUM(D37:D38)</x:f>
        <x:v>39</x:v>
      </x:c>
      <x:c r="E39" s="898" t="n">
        <x:f>SUM(E37:E38)</x:f>
        <x:v>34</x:v>
      </x:c>
      <x:c r="F39" s="900" t="n">
        <x:f>SUM(F37:F38)</x:f>
        <x:v>13</x:v>
      </x:c>
    </x:row>
    <x:row r="40" ht="16.5" customHeight="1">
      <x:c r="A40" s="916" t="s">
        <x:v>506</x:v>
      </x:c>
      <x:c r="B40" s="898"/>
      <x:c r="C40" s="918"/>
      <x:c r="D40" s="918"/>
      <x:c r="E40" s="918"/>
      <x:c r="F40" s="918"/>
    </x:row>
    <x:row r="41" ht="16.5" customHeight="1">
      <x:c r="A41" s="916" t="s">
        <x:v>520</x:v>
      </x:c>
      <x:c r="B41" s="898"/>
      <x:c r="C41" s="918"/>
      <x:c r="D41" s="918"/>
      <x:c r="E41" s="918"/>
      <x:c r="F41" s="918"/>
    </x:row>
  </x:sheetData>
  <x:mergeCells>
    <x:mergeCell ref="A2:E2"/>
    <x:mergeCell ref="A13:E13"/>
    <x:mergeCell ref="A21:E2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59.28515625" defaultRowHeight="54.75"/>
  <x:cols>
    <x:col min="1" max="1" width="13" style="96" hidden="0" customWidth="1"/>
    <x:col min="2" max="2" width="13" style="96" hidden="0" customWidth="1"/>
    <x:col min="3" max="3" width="14" style="96" hidden="0" customWidth="1"/>
    <x:col min="4" max="4" width="16" style="96" hidden="0" customWidth="1"/>
    <x:col min="5" max="5" width="16" style="96" hidden="0" customWidth="1"/>
    <x:col min="6" max="6" width="24" style="96" hidden="0" customWidth="1"/>
    <x:col min="7" max="7" width="22" style="96" hidden="0" customWidth="1"/>
    <x:col min="8" max="8" width="38" style="96" hidden="0" customWidth="1"/>
    <x:col min="9" max="9" width="12" style="96" hidden="0" customWidth="1"/>
    <x:col min="10" max="10" width="30" style="96" hidden="0" customWidth="1"/>
    <x:col min="11" max="11" width="20" style="96" hidden="0" customWidth="1"/>
    <x:col min="12" max="12" width="28" style="96" hidden="0" customWidth="1"/>
    <x:col min="13" max="13" width="55" style="96" hidden="0" customWidth="1"/>
    <x:col min="14" max="16384" width="59.28515625" style="96" customWidth="0"/>
  </x:cols>
  <x:sheetData>
    <x:row r="1" ht="34" customHeight="1">
      <x:c r="A1" s="1456" t="s">
        <x:v>521</x:v>
      </x:c>
      <x:c r="B1" s="2771" t="s">
        <x:v>522</x:v>
      </x:c>
      <x:c r="C1" s="2576" t="s">
        <x:v>523</x:v>
      </x:c>
      <x:c r="D1" s="2576" t="s">
        <x:v>524</x:v>
      </x:c>
      <x:c r="E1" s="2576" t="s">
        <x:v>525</x:v>
      </x:c>
      <x:c r="F1" s="2576" t="s">
        <x:v>526</x:v>
      </x:c>
      <x:c r="G1" s="2576" t="s">
        <x:v>527</x:v>
      </x:c>
      <x:c r="H1" s="2576" t="s">
        <x:v>528</x:v>
      </x:c>
      <x:c r="I1" s="2772" t="s">
        <x:v>529</x:v>
      </x:c>
      <x:c r="J1" s="2576" t="s">
        <x:v>530</x:v>
      </x:c>
      <x:c r="K1" s="2576" t="s">
        <x:v>531</x:v>
      </x:c>
      <x:c r="L1" s="2576" t="s">
        <x:v>532</x:v>
      </x:c>
      <x:c r="M1" s="2576" t="s">
        <x:v>533</x:v>
      </x:c>
      <x:c r="N1" s="1444"/>
    </x:row>
    <x:row r="2" ht="36" customHeight="1">
      <x:c r="A2" s="2796">
        <x:v>45474</x:v>
      </x:c>
      <x:c r="B2" s="2797">
        <x:v>45565</x:v>
      </x:c>
      <x:c r="C2" s="2590" t="s">
        <x:v>534</x:v>
      </x:c>
      <x:c r="D2" s="2590" t="s">
        <x:v>164</x:v>
      </x:c>
      <x:c r="E2" s="2590" t="s">
        <x:v>535</x:v>
      </x:c>
      <x:c r="F2" s="2590" t="s">
        <x:v>404</x:v>
      </x:c>
      <x:c r="G2" s="2590" t="s">
        <x:v>410</x:v>
      </x:c>
      <x:c r="H2" s="2591" t="s">
        <x:v>416</x:v>
      </x:c>
      <x:c r="I2" s="2385">
        <x:v>24</x:v>
      </x:c>
      <x:c r="J2" s="2590" t="s">
        <x:v>115</x:v>
      </x:c>
      <x:c r="K2" s="2590" t="s">
        <x:v>160</x:v>
      </x:c>
      <x:c r="L2" s="2590" t="s">
        <x:v>119</x:v>
      </x:c>
      <x:c r="M2" s="2581" t="s">
        <x:v>536</x:v>
      </x:c>
      <x:c r="N2" s="1155"/>
    </x:row>
    <x:row r="3" ht="37.5" customHeight="1">
      <x:c r="A3" s="2796">
        <x:v>45566</x:v>
      </x:c>
      <x:c r="B3" s="2797">
        <x:v>45657</x:v>
      </x:c>
      <x:c r="C3" s="2590" t="s">
        <x:v>534</x:v>
      </x:c>
      <x:c r="D3" s="2590" t="s">
        <x:v>174</x:v>
      </x:c>
      <x:c r="E3" s="2590" t="s">
        <x:v>535</x:v>
      </x:c>
      <x:c r="F3" s="2590" t="s">
        <x:v>404</x:v>
      </x:c>
      <x:c r="G3" s="2590" t="s">
        <x:v>410</x:v>
      </x:c>
      <x:c r="H3" s="2591" t="s">
        <x:v>416</x:v>
      </x:c>
      <x:c r="I3" s="2385">
        <x:v>29</x:v>
      </x:c>
      <x:c r="J3" s="2590" t="s">
        <x:v>115</x:v>
      </x:c>
      <x:c r="K3" s="2590" t="s">
        <x:v>172</x:v>
      </x:c>
      <x:c r="L3" s="2590" t="s">
        <x:v>119</x:v>
      </x:c>
      <x:c r="M3" s="2581" t="s">
        <x:v>536</x:v>
      </x:c>
      <x:c r="N3" s="1155"/>
    </x:row>
    <x:row r="4" ht="41.25" customHeight="1">
      <x:c r="A4" s="2796">
        <x:v>45658</x:v>
      </x:c>
      <x:c r="B4" s="2797">
        <x:v>45747</x:v>
      </x:c>
      <x:c r="C4" s="2590" t="s">
        <x:v>534</x:v>
      </x:c>
      <x:c r="D4" s="2590" t="s">
        <x:v>179</x:v>
      </x:c>
      <x:c r="E4" s="2590" t="s">
        <x:v>535</x:v>
      </x:c>
      <x:c r="F4" s="2590" t="s">
        <x:v>404</x:v>
      </x:c>
      <x:c r="G4" s="2590" t="s">
        <x:v>410</x:v>
      </x:c>
      <x:c r="H4" s="2591" t="s">
        <x:v>416</x:v>
      </x:c>
      <x:c r="I4" s="2385">
        <x:v>22</x:v>
      </x:c>
      <x:c r="J4" s="2590" t="s">
        <x:v>123</x:v>
      </x:c>
      <x:c r="K4" s="2590" t="s">
        <x:v>177</x:v>
      </x:c>
      <x:c r="L4" s="2590" t="s">
        <x:v>126</x:v>
      </x:c>
      <x:c r="M4" s="2581" t="s">
        <x:v>537</x:v>
      </x:c>
      <x:c r="N4" s="1155"/>
    </x:row>
    <x:row r="5" ht="43.5" customHeight="1">
      <x:c r="A5" s="2796">
        <x:v>45748</x:v>
      </x:c>
      <x:c r="B5" s="2797">
        <x:v>45838</x:v>
      </x:c>
      <x:c r="C5" s="2590" t="s">
        <x:v>534</x:v>
      </x:c>
      <x:c r="D5" s="2590" t="s">
        <x:v>185</x:v>
      </x:c>
      <x:c r="E5" s="2590" t="s">
        <x:v>535</x:v>
      </x:c>
      <x:c r="F5" s="2590" t="s">
        <x:v>404</x:v>
      </x:c>
      <x:c r="G5" s="2590" t="s">
        <x:v>410</x:v>
      </x:c>
      <x:c r="H5" s="2591" t="s">
        <x:v>416</x:v>
      </x:c>
      <x:c r="I5" s="2385">
        <x:v>31</x:v>
      </x:c>
      <x:c r="J5" s="2590" t="s">
        <x:v>123</x:v>
      </x:c>
      <x:c r="K5" s="2590" t="s">
        <x:v>183</x:v>
      </x:c>
      <x:c r="L5" s="2590" t="s">
        <x:v>126</x:v>
      </x:c>
      <x:c r="M5" s="2581" t="s">
        <x:v>537</x:v>
      </x:c>
      <x:c r="N5" s="1155"/>
    </x:row>
    <x:row r="6" ht="54.75" customHeight="1">
      <x:c r="A6" s="2796">
        <x:v>45962</x:v>
      </x:c>
      <x:c r="B6" s="2797">
        <x:v>46022</x:v>
      </x:c>
      <x:c r="C6" s="2590" t="s">
        <x:v>538</x:v>
      </x:c>
      <x:c r="D6" s="2590" t="s">
        <x:v>190</x:v>
      </x:c>
      <x:c r="E6" s="2590" t="s">
        <x:v>95</x:v>
      </x:c>
      <x:c r="F6" s="2590" t="s">
        <x:v>404</x:v>
      </x:c>
      <x:c r="G6" s="2590" t="s">
        <x:v>410</x:v>
      </x:c>
      <x:c r="H6" s="2591" t="s">
        <x:v>416</x:v>
      </x:c>
      <x:c r="I6" s="2385">
        <x:v>12</x:v>
      </x:c>
      <x:c r="J6" s="2590" t="s">
        <x:v>137</x:v>
      </x:c>
      <x:c r="K6" s="2590" t="s">
        <x:v>188</x:v>
      </x:c>
      <x:c r="L6" s="2590" t="s">
        <x:v>140</x:v>
      </x:c>
      <x:c r="M6" s="2581" t="s">
        <x:v>539</x:v>
      </x:c>
      <x:c r="N6" s="1155"/>
    </x:row>
    <x:row r="7" ht="54.75" customHeight="1">
      <x:c r="A7" s="2796">
        <x:v>45474</x:v>
      </x:c>
      <x:c r="B7" s="2797">
        <x:v>45565</x:v>
      </x:c>
      <x:c r="C7" s="2590" t="s">
        <x:v>534</x:v>
      </x:c>
      <x:c r="D7" s="2590" t="s">
        <x:v>164</x:v>
      </x:c>
      <x:c r="E7" s="2590" t="s">
        <x:v>535</x:v>
      </x:c>
      <x:c r="F7" s="2590" t="s">
        <x:v>404</x:v>
      </x:c>
      <x:c r="G7" s="2590" t="s">
        <x:v>410</x:v>
      </x:c>
      <x:c r="H7" s="2591" t="s">
        <x:v>349</x:v>
      </x:c>
      <x:c r="I7" s="2385">
        <x:v>0</x:v>
      </x:c>
      <x:c r="J7" s="2590" t="s">
        <x:v>115</x:v>
      </x:c>
      <x:c r="K7" s="2590" t="s">
        <x:v>160</x:v>
      </x:c>
      <x:c r="L7" s="2590" t="s">
        <x:v>119</x:v>
      </x:c>
      <x:c r="M7" s="2581" t="s">
        <x:v>540</x:v>
      </x:c>
      <x:c r="N7" s="1155"/>
    </x:row>
    <x:row r="8" ht="54.75" customHeight="1">
      <x:c r="A8" s="2796">
        <x:v>45566</x:v>
      </x:c>
      <x:c r="B8" s="2797">
        <x:v>45657</x:v>
      </x:c>
      <x:c r="C8" s="2590" t="s">
        <x:v>534</x:v>
      </x:c>
      <x:c r="D8" s="2590" t="s">
        <x:v>174</x:v>
      </x:c>
      <x:c r="E8" s="2590" t="s">
        <x:v>535</x:v>
      </x:c>
      <x:c r="F8" s="2590" t="s">
        <x:v>404</x:v>
      </x:c>
      <x:c r="G8" s="2590" t="s">
        <x:v>410</x:v>
      </x:c>
      <x:c r="H8" s="2591" t="s">
        <x:v>349</x:v>
      </x:c>
      <x:c r="I8" s="2385">
        <x:v>0</x:v>
      </x:c>
      <x:c r="J8" s="2590" t="s">
        <x:v>115</x:v>
      </x:c>
      <x:c r="K8" s="2590" t="s">
        <x:v>172</x:v>
      </x:c>
      <x:c r="L8" s="2590" t="s">
        <x:v>119</x:v>
      </x:c>
      <x:c r="M8" s="2581" t="s">
        <x:v>540</x:v>
      </x:c>
      <x:c r="N8" s="1155"/>
    </x:row>
    <x:row r="9" ht="54.75" customHeight="1">
      <x:c r="A9" s="2796">
        <x:v>45658</x:v>
      </x:c>
      <x:c r="B9" s="2797">
        <x:v>45747</x:v>
      </x:c>
      <x:c r="C9" s="2590" t="s">
        <x:v>534</x:v>
      </x:c>
      <x:c r="D9" s="2590" t="s">
        <x:v>179</x:v>
      </x:c>
      <x:c r="E9" s="2590" t="s">
        <x:v>535</x:v>
      </x:c>
      <x:c r="F9" s="2590" t="s">
        <x:v>404</x:v>
      </x:c>
      <x:c r="G9" s="2590" t="s">
        <x:v>410</x:v>
      </x:c>
      <x:c r="H9" s="2591" t="s">
        <x:v>349</x:v>
      </x:c>
      <x:c r="I9" s="2385">
        <x:v>1</x:v>
      </x:c>
      <x:c r="J9" s="2590" t="s">
        <x:v>123</x:v>
      </x:c>
      <x:c r="K9" s="2590" t="s">
        <x:v>177</x:v>
      </x:c>
      <x:c r="L9" s="2590" t="s">
        <x:v>126</x:v>
      </x:c>
      <x:c r="M9" s="2581" t="s">
        <x:v>541</x:v>
      </x:c>
      <x:c r="N9" s="1155"/>
    </x:row>
    <x:row r="10" ht="54.75" customHeight="1">
      <x:c r="A10" s="2796">
        <x:v>45748</x:v>
      </x:c>
      <x:c r="B10" s="2797">
        <x:v>45838</x:v>
      </x:c>
      <x:c r="C10" s="2590" t="s">
        <x:v>534</x:v>
      </x:c>
      <x:c r="D10" s="2590" t="s">
        <x:v>185</x:v>
      </x:c>
      <x:c r="E10" s="2590" t="s">
        <x:v>535</x:v>
      </x:c>
      <x:c r="F10" s="2590" t="s">
        <x:v>404</x:v>
      </x:c>
      <x:c r="G10" s="2590" t="s">
        <x:v>410</x:v>
      </x:c>
      <x:c r="H10" s="2591" t="s">
        <x:v>349</x:v>
      </x:c>
      <x:c r="I10" s="2385">
        <x:v>2</x:v>
      </x:c>
      <x:c r="J10" s="2590" t="s">
        <x:v>123</x:v>
      </x:c>
      <x:c r="K10" s="2590" t="s">
        <x:v>183</x:v>
      </x:c>
      <x:c r="L10" s="2590" t="s">
        <x:v>126</x:v>
      </x:c>
      <x:c r="M10" s="2581" t="s">
        <x:v>541</x:v>
      </x:c>
      <x:c r="N10" s="1155"/>
    </x:row>
    <x:row r="11" ht="54.75" customHeight="1">
      <x:c r="A11" s="2796">
        <x:v>45962</x:v>
      </x:c>
      <x:c r="B11" s="2797">
        <x:v>46022</x:v>
      </x:c>
      <x:c r="C11" s="2590" t="s">
        <x:v>538</x:v>
      </x:c>
      <x:c r="D11" s="2590" t="s">
        <x:v>190</x:v>
      </x:c>
      <x:c r="E11" s="2590" t="s">
        <x:v>95</x:v>
      </x:c>
      <x:c r="F11" s="2590" t="s">
        <x:v>404</x:v>
      </x:c>
      <x:c r="G11" s="2590" t="s">
        <x:v>410</x:v>
      </x:c>
      <x:c r="H11" s="2591" t="s">
        <x:v>349</x:v>
      </x:c>
      <x:c r="I11" s="2385">
        <x:v>1</x:v>
      </x:c>
      <x:c r="J11" s="2590" t="s">
        <x:v>137</x:v>
      </x:c>
      <x:c r="K11" s="2590" t="s">
        <x:v>188</x:v>
      </x:c>
      <x:c r="L11" s="2590" t="s">
        <x:v>140</x:v>
      </x:c>
      <x:c r="M11" s="2581" t="s">
        <x:v>542</x:v>
      </x:c>
      <x:c r="N11" s="1155"/>
    </x:row>
    <x:row r="12" ht="54.75" customHeight="1">
      <x:c r="A12" s="2796">
        <x:v>45474</x:v>
      </x:c>
      <x:c r="B12" s="2797">
        <x:v>45565</x:v>
      </x:c>
      <x:c r="C12" s="2590" t="s">
        <x:v>534</x:v>
      </x:c>
      <x:c r="D12" s="2590" t="s">
        <x:v>164</x:v>
      </x:c>
      <x:c r="E12" s="2590" t="s">
        <x:v>535</x:v>
      </x:c>
      <x:c r="F12" s="2590" t="s">
        <x:v>404</x:v>
      </x:c>
      <x:c r="G12" s="2590" t="s">
        <x:v>410</x:v>
      </x:c>
      <x:c r="H12" s="2591" t="s">
        <x:v>491</x:v>
      </x:c>
      <x:c r="I12" s="2385">
        <x:v>5</x:v>
      </x:c>
      <x:c r="J12" s="2590" t="s">
        <x:v>115</x:v>
      </x:c>
      <x:c r="K12" s="2590" t="s">
        <x:v>160</x:v>
      </x:c>
      <x:c r="L12" s="2590" t="s">
        <x:v>119</x:v>
      </x:c>
      <x:c r="M12" s="2581" t="s">
        <x:v>536</x:v>
      </x:c>
      <x:c r="N12" s="1155"/>
    </x:row>
    <x:row r="13" ht="54.75" customHeight="1">
      <x:c r="A13" s="2796">
        <x:v>45566</x:v>
      </x:c>
      <x:c r="B13" s="2797">
        <x:v>45657</x:v>
      </x:c>
      <x:c r="C13" s="2590" t="s">
        <x:v>534</x:v>
      </x:c>
      <x:c r="D13" s="2590" t="s">
        <x:v>174</x:v>
      </x:c>
      <x:c r="E13" s="2590" t="s">
        <x:v>535</x:v>
      </x:c>
      <x:c r="F13" s="2590" t="s">
        <x:v>404</x:v>
      </x:c>
      <x:c r="G13" s="2590" t="s">
        <x:v>410</x:v>
      </x:c>
      <x:c r="H13" s="2591" t="s">
        <x:v>491</x:v>
      </x:c>
      <x:c r="I13" s="2385">
        <x:v>0</x:v>
      </x:c>
      <x:c r="J13" s="2590" t="s">
        <x:v>115</x:v>
      </x:c>
      <x:c r="K13" s="2590" t="s">
        <x:v>172</x:v>
      </x:c>
      <x:c r="L13" s="2590" t="s">
        <x:v>119</x:v>
      </x:c>
      <x:c r="M13" s="2581" t="s">
        <x:v>536</x:v>
      </x:c>
      <x:c r="N13" s="1155"/>
    </x:row>
    <x:row r="14" ht="54.75" customHeight="1">
      <x:c r="A14" s="2796">
        <x:v>45658</x:v>
      </x:c>
      <x:c r="B14" s="2797">
        <x:v>45747</x:v>
      </x:c>
      <x:c r="C14" s="2590" t="s">
        <x:v>534</x:v>
      </x:c>
      <x:c r="D14" s="2590" t="s">
        <x:v>179</x:v>
      </x:c>
      <x:c r="E14" s="2590" t="s">
        <x:v>535</x:v>
      </x:c>
      <x:c r="F14" s="2590" t="s">
        <x:v>404</x:v>
      </x:c>
      <x:c r="G14" s="2590" t="s">
        <x:v>410</x:v>
      </x:c>
      <x:c r="H14" s="2591" t="s">
        <x:v>491</x:v>
      </x:c>
      <x:c r="I14" s="2385">
        <x:v>3</x:v>
      </x:c>
      <x:c r="J14" s="2590" t="s">
        <x:v>123</x:v>
      </x:c>
      <x:c r="K14" s="2590" t="s">
        <x:v>177</x:v>
      </x:c>
      <x:c r="L14" s="2590" t="s">
        <x:v>126</x:v>
      </x:c>
      <x:c r="M14" s="2581" t="s">
        <x:v>537</x:v>
      </x:c>
      <x:c r="N14" s="1155"/>
    </x:row>
    <x:row r="15" ht="54.75" customHeight="1">
      <x:c r="A15" s="2796">
        <x:v>45748</x:v>
      </x:c>
      <x:c r="B15" s="2797">
        <x:v>45838</x:v>
      </x:c>
      <x:c r="C15" s="2590" t="s">
        <x:v>534</x:v>
      </x:c>
      <x:c r="D15" s="2590" t="s">
        <x:v>185</x:v>
      </x:c>
      <x:c r="E15" s="2590" t="s">
        <x:v>535</x:v>
      </x:c>
      <x:c r="F15" s="2590" t="s">
        <x:v>404</x:v>
      </x:c>
      <x:c r="G15" s="2590" t="s">
        <x:v>410</x:v>
      </x:c>
      <x:c r="H15" s="2591" t="s">
        <x:v>491</x:v>
      </x:c>
      <x:c r="I15" s="2385">
        <x:v>2</x:v>
      </x:c>
      <x:c r="J15" s="2590" t="s">
        <x:v>123</x:v>
      </x:c>
      <x:c r="K15" s="2590" t="s">
        <x:v>183</x:v>
      </x:c>
      <x:c r="L15" s="2590" t="s">
        <x:v>126</x:v>
      </x:c>
      <x:c r="M15" s="2581" t="s">
        <x:v>537</x:v>
      </x:c>
      <x:c r="N15" s="1155"/>
    </x:row>
    <x:row r="16" ht="54.75" customHeight="1">
      <x:c r="A16" s="2796">
        <x:v>45962</x:v>
      </x:c>
      <x:c r="B16" s="2797">
        <x:v>46022</x:v>
      </x:c>
      <x:c r="C16" s="2590" t="s">
        <x:v>538</x:v>
      </x:c>
      <x:c r="D16" s="2590" t="s">
        <x:v>190</x:v>
      </x:c>
      <x:c r="E16" s="2590" t="s">
        <x:v>95</x:v>
      </x:c>
      <x:c r="F16" s="2590" t="s">
        <x:v>404</x:v>
      </x:c>
      <x:c r="G16" s="2590" t="s">
        <x:v>410</x:v>
      </x:c>
      <x:c r="H16" s="2591" t="s">
        <x:v>491</x:v>
      </x:c>
      <x:c r="I16" s="2385">
        <x:v>0</x:v>
      </x:c>
      <x:c r="J16" s="2590" t="s">
        <x:v>137</x:v>
      </x:c>
      <x:c r="K16" s="2590" t="s">
        <x:v>188</x:v>
      </x:c>
      <x:c r="L16" s="2590" t="s">
        <x:v>140</x:v>
      </x:c>
      <x:c r="M16" s="2581" t="s">
        <x:v>539</x:v>
      </x:c>
      <x:c r="N16" s="1155"/>
    </x:row>
    <x:row r="17" ht="54.75" customHeight="1">
      <x:c r="A17" s="2796">
        <x:v>45474</x:v>
      </x:c>
      <x:c r="B17" s="2797">
        <x:v>45565</x:v>
      </x:c>
      <x:c r="C17" s="2590" t="s">
        <x:v>534</x:v>
      </x:c>
      <x:c r="D17" s="2590" t="s">
        <x:v>164</x:v>
      </x:c>
      <x:c r="E17" s="2590" t="s">
        <x:v>535</x:v>
      </x:c>
      <x:c r="F17" s="2590" t="s">
        <x:v>404</x:v>
      </x:c>
      <x:c r="G17" s="2590" t="s">
        <x:v>410</x:v>
      </x:c>
      <x:c r="H17" s="2591" t="s">
        <x:v>492</x:v>
      </x:c>
      <x:c r="I17" s="2385">
        <x:v>0</x:v>
      </x:c>
      <x:c r="J17" s="2590" t="s">
        <x:v>115</x:v>
      </x:c>
      <x:c r="K17" s="2590" t="s">
        <x:v>160</x:v>
      </x:c>
      <x:c r="L17" s="2590" t="s">
        <x:v>119</x:v>
      </x:c>
      <x:c r="M17" s="2581" t="s">
        <x:v>536</x:v>
      </x:c>
      <x:c r="N17" s="1155"/>
    </x:row>
    <x:row r="18" ht="54.75" customHeight="1">
      <x:c r="A18" s="2796">
        <x:v>45566</x:v>
      </x:c>
      <x:c r="B18" s="2797">
        <x:v>45657</x:v>
      </x:c>
      <x:c r="C18" s="2590" t="s">
        <x:v>534</x:v>
      </x:c>
      <x:c r="D18" s="2590" t="s">
        <x:v>174</x:v>
      </x:c>
      <x:c r="E18" s="2590" t="s">
        <x:v>535</x:v>
      </x:c>
      <x:c r="F18" s="2590" t="s">
        <x:v>404</x:v>
      </x:c>
      <x:c r="G18" s="2590" t="s">
        <x:v>410</x:v>
      </x:c>
      <x:c r="H18" s="2591" t="s">
        <x:v>492</x:v>
      </x:c>
      <x:c r="I18" s="2385">
        <x:v>1</x:v>
      </x:c>
      <x:c r="J18" s="2590" t="s">
        <x:v>115</x:v>
      </x:c>
      <x:c r="K18" s="2590" t="s">
        <x:v>172</x:v>
      </x:c>
      <x:c r="L18" s="2590" t="s">
        <x:v>119</x:v>
      </x:c>
      <x:c r="M18" s="2581" t="s">
        <x:v>536</x:v>
      </x:c>
      <x:c r="N18" s="1155"/>
    </x:row>
    <x:row r="19" ht="54.75" customHeight="1">
      <x:c r="A19" s="2796">
        <x:v>45658</x:v>
      </x:c>
      <x:c r="B19" s="2797">
        <x:v>45747</x:v>
      </x:c>
      <x:c r="C19" s="2590" t="s">
        <x:v>534</x:v>
      </x:c>
      <x:c r="D19" s="2590" t="s">
        <x:v>179</x:v>
      </x:c>
      <x:c r="E19" s="2590" t="s">
        <x:v>535</x:v>
      </x:c>
      <x:c r="F19" s="2590" t="s">
        <x:v>404</x:v>
      </x:c>
      <x:c r="G19" s="2590" t="s">
        <x:v>410</x:v>
      </x:c>
      <x:c r="H19" s="2591" t="s">
        <x:v>492</x:v>
      </x:c>
      <x:c r="I19" s="2385">
        <x:v>0</x:v>
      </x:c>
      <x:c r="J19" s="2590" t="s">
        <x:v>123</x:v>
      </x:c>
      <x:c r="K19" s="2590" t="s">
        <x:v>177</x:v>
      </x:c>
      <x:c r="L19" s="2590" t="s">
        <x:v>126</x:v>
      </x:c>
      <x:c r="M19" s="2581" t="s">
        <x:v>537</x:v>
      </x:c>
      <x:c r="N19" s="1155"/>
    </x:row>
    <x:row r="20" ht="54.75" customHeight="1">
      <x:c r="A20" s="2796">
        <x:v>45748</x:v>
      </x:c>
      <x:c r="B20" s="2797">
        <x:v>45838</x:v>
      </x:c>
      <x:c r="C20" s="2590" t="s">
        <x:v>534</x:v>
      </x:c>
      <x:c r="D20" s="2590" t="s">
        <x:v>185</x:v>
      </x:c>
      <x:c r="E20" s="2590" t="s">
        <x:v>535</x:v>
      </x:c>
      <x:c r="F20" s="2590" t="s">
        <x:v>404</x:v>
      </x:c>
      <x:c r="G20" s="2590" t="s">
        <x:v>410</x:v>
      </x:c>
      <x:c r="H20" s="2591" t="s">
        <x:v>492</x:v>
      </x:c>
      <x:c r="I20" s="2385">
        <x:v>0</x:v>
      </x:c>
      <x:c r="J20" s="2590" t="s">
        <x:v>123</x:v>
      </x:c>
      <x:c r="K20" s="2590" t="s">
        <x:v>183</x:v>
      </x:c>
      <x:c r="L20" s="2590" t="s">
        <x:v>126</x:v>
      </x:c>
      <x:c r="M20" s="2581" t="s">
        <x:v>537</x:v>
      </x:c>
      <x:c r="N20" s="1155"/>
    </x:row>
    <x:row r="21" ht="54.75" customHeight="1">
      <x:c r="A21" s="2796">
        <x:v>45962</x:v>
      </x:c>
      <x:c r="B21" s="2797">
        <x:v>46022</x:v>
      </x:c>
      <x:c r="C21" s="2590" t="s">
        <x:v>538</x:v>
      </x:c>
      <x:c r="D21" s="2590" t="s">
        <x:v>190</x:v>
      </x:c>
      <x:c r="E21" s="2590" t="s">
        <x:v>95</x:v>
      </x:c>
      <x:c r="F21" s="2590" t="s">
        <x:v>404</x:v>
      </x:c>
      <x:c r="G21" s="2590" t="s">
        <x:v>410</x:v>
      </x:c>
      <x:c r="H21" s="2591" t="s">
        <x:v>492</x:v>
      </x:c>
      <x:c r="I21" s="2385">
        <x:v>0</x:v>
      </x:c>
      <x:c r="J21" s="2590" t="s">
        <x:v>137</x:v>
      </x:c>
      <x:c r="K21" s="2590" t="s">
        <x:v>188</x:v>
      </x:c>
      <x:c r="L21" s="2590" t="s">
        <x:v>140</x:v>
      </x:c>
      <x:c r="M21" s="2581" t="s">
        <x:v>539</x:v>
      </x:c>
      <x:c r="N21" s="1155"/>
    </x:row>
    <x:row r="22" ht="54.75" customHeight="1">
      <x:c r="A22" s="2796">
        <x:v>45474</x:v>
      </x:c>
      <x:c r="B22" s="2797">
        <x:v>45565</x:v>
      </x:c>
      <x:c r="C22" s="2590" t="s">
        <x:v>534</x:v>
      </x:c>
      <x:c r="D22" s="2590" t="s">
        <x:v>164</x:v>
      </x:c>
      <x:c r="E22" s="2590" t="s">
        <x:v>535</x:v>
      </x:c>
      <x:c r="F22" s="2590" t="s">
        <x:v>404</x:v>
      </x:c>
      <x:c r="G22" s="2590" t="s">
        <x:v>410</x:v>
      </x:c>
      <x:c r="H22" s="2591" t="s">
        <x:v>353</x:v>
      </x:c>
      <x:c r="I22" s="2385">
        <x:v>0</x:v>
      </x:c>
      <x:c r="J22" s="2590" t="s">
        <x:v>115</x:v>
      </x:c>
      <x:c r="K22" s="2590" t="s">
        <x:v>160</x:v>
      </x:c>
      <x:c r="L22" s="2590" t="s">
        <x:v>119</x:v>
      </x:c>
      <x:c r="M22" s="2581" t="s">
        <x:v>540</x:v>
      </x:c>
      <x:c r="N22" s="1155"/>
    </x:row>
    <x:row r="23" ht="54.75" customHeight="1">
      <x:c r="A23" s="2796">
        <x:v>45566</x:v>
      </x:c>
      <x:c r="B23" s="2797">
        <x:v>45657</x:v>
      </x:c>
      <x:c r="C23" s="2590" t="s">
        <x:v>534</x:v>
      </x:c>
      <x:c r="D23" s="2590" t="s">
        <x:v>174</x:v>
      </x:c>
      <x:c r="E23" s="2590" t="s">
        <x:v>535</x:v>
      </x:c>
      <x:c r="F23" s="2590" t="s">
        <x:v>404</x:v>
      </x:c>
      <x:c r="G23" s="2590" t="s">
        <x:v>410</x:v>
      </x:c>
      <x:c r="H23" s="2591" t="s">
        <x:v>353</x:v>
      </x:c>
      <x:c r="I23" s="2385">
        <x:v>0</x:v>
      </x:c>
      <x:c r="J23" s="2590" t="s">
        <x:v>115</x:v>
      </x:c>
      <x:c r="K23" s="2590" t="s">
        <x:v>172</x:v>
      </x:c>
      <x:c r="L23" s="2590" t="s">
        <x:v>119</x:v>
      </x:c>
      <x:c r="M23" s="2581" t="s">
        <x:v>540</x:v>
      </x:c>
      <x:c r="N23" s="1155"/>
    </x:row>
    <x:row r="24" ht="54.75" customHeight="1">
      <x:c r="A24" s="2796">
        <x:v>45658</x:v>
      </x:c>
      <x:c r="B24" s="2797">
        <x:v>45747</x:v>
      </x:c>
      <x:c r="C24" s="2590" t="s">
        <x:v>534</x:v>
      </x:c>
      <x:c r="D24" s="2590" t="s">
        <x:v>179</x:v>
      </x:c>
      <x:c r="E24" s="2590" t="s">
        <x:v>535</x:v>
      </x:c>
      <x:c r="F24" s="2590" t="s">
        <x:v>404</x:v>
      </x:c>
      <x:c r="G24" s="2590" t="s">
        <x:v>410</x:v>
      </x:c>
      <x:c r="H24" s="2591" t="s">
        <x:v>353</x:v>
      </x:c>
      <x:c r="I24" s="2385">
        <x:v>0</x:v>
      </x:c>
      <x:c r="J24" s="2590" t="s">
        <x:v>123</x:v>
      </x:c>
      <x:c r="K24" s="2590" t="s">
        <x:v>177</x:v>
      </x:c>
      <x:c r="L24" s="2590" t="s">
        <x:v>126</x:v>
      </x:c>
      <x:c r="M24" s="2581" t="s">
        <x:v>541</x:v>
      </x:c>
      <x:c r="N24" s="1155"/>
    </x:row>
    <x:row r="25" ht="54.75" customHeight="1">
      <x:c r="A25" s="2796">
        <x:v>45748</x:v>
      </x:c>
      <x:c r="B25" s="2797">
        <x:v>45838</x:v>
      </x:c>
      <x:c r="C25" s="2590" t="s">
        <x:v>534</x:v>
      </x:c>
      <x:c r="D25" s="2590" t="s">
        <x:v>185</x:v>
      </x:c>
      <x:c r="E25" s="2590" t="s">
        <x:v>535</x:v>
      </x:c>
      <x:c r="F25" s="2590" t="s">
        <x:v>404</x:v>
      </x:c>
      <x:c r="G25" s="2590" t="s">
        <x:v>410</x:v>
      </x:c>
      <x:c r="H25" s="2591" t="s">
        <x:v>353</x:v>
      </x:c>
      <x:c r="I25" s="2385">
        <x:v>0</x:v>
      </x:c>
      <x:c r="J25" s="2590" t="s">
        <x:v>123</x:v>
      </x:c>
      <x:c r="K25" s="2590" t="s">
        <x:v>183</x:v>
      </x:c>
      <x:c r="L25" s="2590" t="s">
        <x:v>126</x:v>
      </x:c>
      <x:c r="M25" s="2581" t="s">
        <x:v>541</x:v>
      </x:c>
      <x:c r="N25" s="1155"/>
    </x:row>
    <x:row r="26" ht="54.75" customHeight="1">
      <x:c r="A26" s="2796">
        <x:v>45962</x:v>
      </x:c>
      <x:c r="B26" s="2797">
        <x:v>46022</x:v>
      </x:c>
      <x:c r="C26" s="2590" t="s">
        <x:v>538</x:v>
      </x:c>
      <x:c r="D26" s="2590" t="s">
        <x:v>190</x:v>
      </x:c>
      <x:c r="E26" s="2590" t="s">
        <x:v>95</x:v>
      </x:c>
      <x:c r="F26" s="2590" t="s">
        <x:v>404</x:v>
      </x:c>
      <x:c r="G26" s="2590" t="s">
        <x:v>410</x:v>
      </x:c>
      <x:c r="H26" s="2591" t="s">
        <x:v>353</x:v>
      </x:c>
      <x:c r="I26" s="2385">
        <x:v>0</x:v>
      </x:c>
      <x:c r="J26" s="2590" t="s">
        <x:v>137</x:v>
      </x:c>
      <x:c r="K26" s="2590" t="s">
        <x:v>188</x:v>
      </x:c>
      <x:c r="L26" s="2590" t="s">
        <x:v>140</x:v>
      </x:c>
      <x:c r="M26" s="2581" t="s">
        <x:v>542</x:v>
      </x:c>
      <x:c r="N26" s="1155"/>
    </x:row>
    <x:row r="27" ht="54.75" customHeight="1">
      <x:c r="A27" s="2796">
        <x:v>45474</x:v>
      </x:c>
      <x:c r="B27" s="2797">
        <x:v>45565</x:v>
      </x:c>
      <x:c r="C27" s="2590" t="s">
        <x:v>534</x:v>
      </x:c>
      <x:c r="D27" s="2590" t="s">
        <x:v>164</x:v>
      </x:c>
      <x:c r="E27" s="2590" t="s">
        <x:v>535</x:v>
      </x:c>
      <x:c r="F27" s="2590" t="s">
        <x:v>404</x:v>
      </x:c>
      <x:c r="G27" s="2590" t="s">
        <x:v>410</x:v>
      </x:c>
      <x:c r="H27" s="2591" t="s">
        <x:v>493</x:v>
      </x:c>
      <x:c r="I27" s="2385">
        <x:v>3</x:v>
      </x:c>
      <x:c r="J27" s="2590" t="s">
        <x:v>115</x:v>
      </x:c>
      <x:c r="K27" s="2590" t="s">
        <x:v>160</x:v>
      </x:c>
      <x:c r="L27" s="2590" t="s">
        <x:v>119</x:v>
      </x:c>
      <x:c r="M27" s="2581" t="s">
        <x:v>536</x:v>
      </x:c>
      <x:c r="N27" s="1155"/>
    </x:row>
    <x:row r="28" ht="54.75" customHeight="1">
      <x:c r="A28" s="2796">
        <x:v>45566</x:v>
      </x:c>
      <x:c r="B28" s="2797">
        <x:v>45657</x:v>
      </x:c>
      <x:c r="C28" s="2590" t="s">
        <x:v>534</x:v>
      </x:c>
      <x:c r="D28" s="2590" t="s">
        <x:v>174</x:v>
      </x:c>
      <x:c r="E28" s="2590" t="s">
        <x:v>535</x:v>
      </x:c>
      <x:c r="F28" s="2590" t="s">
        <x:v>404</x:v>
      </x:c>
      <x:c r="G28" s="2590" t="s">
        <x:v>410</x:v>
      </x:c>
      <x:c r="H28" s="2591" t="s">
        <x:v>493</x:v>
      </x:c>
      <x:c r="I28" s="2385">
        <x:v>0</x:v>
      </x:c>
      <x:c r="J28" s="2590" t="s">
        <x:v>115</x:v>
      </x:c>
      <x:c r="K28" s="2590" t="s">
        <x:v>172</x:v>
      </x:c>
      <x:c r="L28" s="2590" t="s">
        <x:v>119</x:v>
      </x:c>
      <x:c r="M28" s="2581" t="s">
        <x:v>536</x:v>
      </x:c>
      <x:c r="N28" s="1155"/>
    </x:row>
    <x:row r="29" ht="54.75" customHeight="1">
      <x:c r="A29" s="2796">
        <x:v>45658</x:v>
      </x:c>
      <x:c r="B29" s="2797">
        <x:v>45747</x:v>
      </x:c>
      <x:c r="C29" s="2590" t="s">
        <x:v>534</x:v>
      </x:c>
      <x:c r="D29" s="2590" t="s">
        <x:v>179</x:v>
      </x:c>
      <x:c r="E29" s="2590" t="s">
        <x:v>535</x:v>
      </x:c>
      <x:c r="F29" s="2590" t="s">
        <x:v>404</x:v>
      </x:c>
      <x:c r="G29" s="2590" t="s">
        <x:v>410</x:v>
      </x:c>
      <x:c r="H29" s="2591" t="s">
        <x:v>493</x:v>
      </x:c>
      <x:c r="I29" s="2385">
        <x:v>0</x:v>
      </x:c>
      <x:c r="J29" s="2590" t="s">
        <x:v>123</x:v>
      </x:c>
      <x:c r="K29" s="2590" t="s">
        <x:v>177</x:v>
      </x:c>
      <x:c r="L29" s="2590" t="s">
        <x:v>126</x:v>
      </x:c>
      <x:c r="M29" s="2581" t="s">
        <x:v>537</x:v>
      </x:c>
      <x:c r="N29" s="1155"/>
    </x:row>
    <x:row r="30" ht="54.75" customHeight="1">
      <x:c r="A30" s="2796">
        <x:v>45748</x:v>
      </x:c>
      <x:c r="B30" s="2797">
        <x:v>45838</x:v>
      </x:c>
      <x:c r="C30" s="2590" t="s">
        <x:v>534</x:v>
      </x:c>
      <x:c r="D30" s="2590" t="s">
        <x:v>185</x:v>
      </x:c>
      <x:c r="E30" s="2590" t="s">
        <x:v>535</x:v>
      </x:c>
      <x:c r="F30" s="2590" t="s">
        <x:v>404</x:v>
      </x:c>
      <x:c r="G30" s="2590" t="s">
        <x:v>410</x:v>
      </x:c>
      <x:c r="H30" s="2591" t="s">
        <x:v>493</x:v>
      </x:c>
      <x:c r="I30" s="2385">
        <x:v>0</x:v>
      </x:c>
      <x:c r="J30" s="2590" t="s">
        <x:v>123</x:v>
      </x:c>
      <x:c r="K30" s="2590" t="s">
        <x:v>183</x:v>
      </x:c>
      <x:c r="L30" s="2590" t="s">
        <x:v>126</x:v>
      </x:c>
      <x:c r="M30" s="2581" t="s">
        <x:v>537</x:v>
      </x:c>
      <x:c r="N30" s="1155"/>
    </x:row>
    <x:row r="31" ht="54.75" customHeight="1">
      <x:c r="A31" s="2796">
        <x:v>45962</x:v>
      </x:c>
      <x:c r="B31" s="2797">
        <x:v>46022</x:v>
      </x:c>
      <x:c r="C31" s="2590" t="s">
        <x:v>538</x:v>
      </x:c>
      <x:c r="D31" s="2590" t="s">
        <x:v>190</x:v>
      </x:c>
      <x:c r="E31" s="2590" t="s">
        <x:v>95</x:v>
      </x:c>
      <x:c r="F31" s="2590" t="s">
        <x:v>404</x:v>
      </x:c>
      <x:c r="G31" s="2590" t="s">
        <x:v>410</x:v>
      </x:c>
      <x:c r="H31" s="2591" t="s">
        <x:v>493</x:v>
      </x:c>
      <x:c r="I31" s="2385">
        <x:v>0</x:v>
      </x:c>
      <x:c r="J31" s="2590" t="s">
        <x:v>137</x:v>
      </x:c>
      <x:c r="K31" s="2590" t="s">
        <x:v>188</x:v>
      </x:c>
      <x:c r="L31" s="2590" t="s">
        <x:v>140</x:v>
      </x:c>
      <x:c r="M31" s="2581" t="s">
        <x:v>539</x:v>
      </x:c>
      <x:c r="N31" s="1155"/>
    </x:row>
    <x:row r="32" ht="54.75" customHeight="1">
      <x:c r="A32" s="2796">
        <x:v>45474</x:v>
      </x:c>
      <x:c r="B32" s="2797">
        <x:v>45565</x:v>
      </x:c>
      <x:c r="C32" s="2590" t="s">
        <x:v>534</x:v>
      </x:c>
      <x:c r="D32" s="2590" t="s">
        <x:v>164</x:v>
      </x:c>
      <x:c r="E32" s="2590" t="s">
        <x:v>535</x:v>
      </x:c>
      <x:c r="F32" s="2590" t="s">
        <x:v>404</x:v>
      </x:c>
      <x:c r="G32" s="2590" t="s">
        <x:v>410</x:v>
      </x:c>
      <x:c r="H32" s="2591" t="s">
        <x:v>196</x:v>
      </x:c>
      <x:c r="I32" s="2385">
        <x:v>4</x:v>
      </x:c>
      <x:c r="J32" s="2590" t="s">
        <x:v>115</x:v>
      </x:c>
      <x:c r="K32" s="2590" t="s">
        <x:v>160</x:v>
      </x:c>
      <x:c r="L32" s="2590" t="s">
        <x:v>119</x:v>
      </x:c>
      <x:c r="M32" s="2581" t="s">
        <x:v>536</x:v>
      </x:c>
      <x:c r="N32" s="1155"/>
    </x:row>
    <x:row r="33" ht="54.75" customHeight="1">
      <x:c r="A33" s="2796">
        <x:v>45566</x:v>
      </x:c>
      <x:c r="B33" s="2797">
        <x:v>45657</x:v>
      </x:c>
      <x:c r="C33" s="2590" t="s">
        <x:v>534</x:v>
      </x:c>
      <x:c r="D33" s="2590" t="s">
        <x:v>174</x:v>
      </x:c>
      <x:c r="E33" s="2590" t="s">
        <x:v>535</x:v>
      </x:c>
      <x:c r="F33" s="2590" t="s">
        <x:v>404</x:v>
      </x:c>
      <x:c r="G33" s="2590" t="s">
        <x:v>410</x:v>
      </x:c>
      <x:c r="H33" s="2591" t="s">
        <x:v>196</x:v>
      </x:c>
      <x:c r="I33" s="2385">
        <x:v>2</x:v>
      </x:c>
      <x:c r="J33" s="2590" t="s">
        <x:v>115</x:v>
      </x:c>
      <x:c r="K33" s="2590" t="s">
        <x:v>172</x:v>
      </x:c>
      <x:c r="L33" s="2590" t="s">
        <x:v>119</x:v>
      </x:c>
      <x:c r="M33" s="2581" t="s">
        <x:v>536</x:v>
      </x:c>
      <x:c r="N33" s="1155"/>
    </x:row>
    <x:row r="34" ht="54.75" customHeight="1">
      <x:c r="A34" s="2796">
        <x:v>45658</x:v>
      </x:c>
      <x:c r="B34" s="2797">
        <x:v>45747</x:v>
      </x:c>
      <x:c r="C34" s="2590" t="s">
        <x:v>534</x:v>
      </x:c>
      <x:c r="D34" s="2590" t="s">
        <x:v>179</x:v>
      </x:c>
      <x:c r="E34" s="2590" t="s">
        <x:v>535</x:v>
      </x:c>
      <x:c r="F34" s="2590" t="s">
        <x:v>404</x:v>
      </x:c>
      <x:c r="G34" s="2590" t="s">
        <x:v>410</x:v>
      </x:c>
      <x:c r="H34" s="2591" t="s">
        <x:v>196</x:v>
      </x:c>
      <x:c r="I34" s="2385">
        <x:v>1</x:v>
      </x:c>
      <x:c r="J34" s="2590" t="s">
        <x:v>123</x:v>
      </x:c>
      <x:c r="K34" s="2590" t="s">
        <x:v>177</x:v>
      </x:c>
      <x:c r="L34" s="2590" t="s">
        <x:v>126</x:v>
      </x:c>
      <x:c r="M34" s="2581" t="s">
        <x:v>537</x:v>
      </x:c>
      <x:c r="N34" s="1155"/>
    </x:row>
    <x:row r="35" ht="54.75" customHeight="1">
      <x:c r="A35" s="2796">
        <x:v>45748</x:v>
      </x:c>
      <x:c r="B35" s="2797">
        <x:v>45838</x:v>
      </x:c>
      <x:c r="C35" s="2590" t="s">
        <x:v>534</x:v>
      </x:c>
      <x:c r="D35" s="2590" t="s">
        <x:v>185</x:v>
      </x:c>
      <x:c r="E35" s="2590" t="s">
        <x:v>535</x:v>
      </x:c>
      <x:c r="F35" s="2590" t="s">
        <x:v>404</x:v>
      </x:c>
      <x:c r="G35" s="2590" t="s">
        <x:v>410</x:v>
      </x:c>
      <x:c r="H35" s="2591" t="s">
        <x:v>196</x:v>
      </x:c>
      <x:c r="I35" s="2385">
        <x:v>8</x:v>
      </x:c>
      <x:c r="J35" s="2590" t="s">
        <x:v>123</x:v>
      </x:c>
      <x:c r="K35" s="2590" t="s">
        <x:v>183</x:v>
      </x:c>
      <x:c r="L35" s="2590" t="s">
        <x:v>126</x:v>
      </x:c>
      <x:c r="M35" s="2581" t="s">
        <x:v>537</x:v>
      </x:c>
      <x:c r="N35" s="1155"/>
    </x:row>
    <x:row r="36" ht="54.75" customHeight="1">
      <x:c r="A36" s="2796">
        <x:v>45962</x:v>
      </x:c>
      <x:c r="B36" s="2797">
        <x:v>46022</x:v>
      </x:c>
      <x:c r="C36" s="2590" t="s">
        <x:v>538</x:v>
      </x:c>
      <x:c r="D36" s="2590" t="s">
        <x:v>190</x:v>
      </x:c>
      <x:c r="E36" s="2590" t="s">
        <x:v>95</x:v>
      </x:c>
      <x:c r="F36" s="2590" t="s">
        <x:v>404</x:v>
      </x:c>
      <x:c r="G36" s="2590" t="s">
        <x:v>410</x:v>
      </x:c>
      <x:c r="H36" s="2591" t="s">
        <x:v>196</x:v>
      </x:c>
      <x:c r="I36" s="2385">
        <x:v>2</x:v>
      </x:c>
      <x:c r="J36" s="2590" t="s">
        <x:v>137</x:v>
      </x:c>
      <x:c r="K36" s="2590" t="s">
        <x:v>188</x:v>
      </x:c>
      <x:c r="L36" s="2590" t="s">
        <x:v>140</x:v>
      </x:c>
      <x:c r="M36" s="2581" t="s">
        <x:v>539</x:v>
      </x:c>
      <x:c r="N36" s="1155"/>
    </x:row>
    <x:row r="37" ht="54.75" customHeight="1">
      <x:c r="A37" s="2796">
        <x:v>45474</x:v>
      </x:c>
      <x:c r="B37" s="2797">
        <x:v>45565</x:v>
      </x:c>
      <x:c r="C37" s="2590" t="s">
        <x:v>534</x:v>
      </x:c>
      <x:c r="D37" s="2590" t="s">
        <x:v>164</x:v>
      </x:c>
      <x:c r="E37" s="2590" t="s">
        <x:v>535</x:v>
      </x:c>
      <x:c r="F37" s="2590" t="s">
        <x:v>404</x:v>
      </x:c>
      <x:c r="G37" s="2590" t="s">
        <x:v>410</x:v>
      </x:c>
      <x:c r="H37" s="2591" t="s">
        <x:v>354</x:v>
      </x:c>
      <x:c r="I37" s="2385">
        <x:v>42</x:v>
      </x:c>
      <x:c r="J37" s="2590" t="s">
        <x:v>115</x:v>
      </x:c>
      <x:c r="K37" s="2590" t="s">
        <x:v>160</x:v>
      </x:c>
      <x:c r="L37" s="2590" t="s">
        <x:v>119</x:v>
      </x:c>
      <x:c r="M37" s="2581" t="s">
        <x:v>540</x:v>
      </x:c>
      <x:c r="N37" s="1155"/>
    </x:row>
    <x:row r="38" ht="54.75" customHeight="1">
      <x:c r="A38" s="2796">
        <x:v>45566</x:v>
      </x:c>
      <x:c r="B38" s="2797">
        <x:v>45657</x:v>
      </x:c>
      <x:c r="C38" s="2590" t="s">
        <x:v>534</x:v>
      </x:c>
      <x:c r="D38" s="2590" t="s">
        <x:v>174</x:v>
      </x:c>
      <x:c r="E38" s="2590" t="s">
        <x:v>535</x:v>
      </x:c>
      <x:c r="F38" s="2590" t="s">
        <x:v>404</x:v>
      </x:c>
      <x:c r="G38" s="2590" t="s">
        <x:v>410</x:v>
      </x:c>
      <x:c r="H38" s="2591" t="s">
        <x:v>354</x:v>
      </x:c>
      <x:c r="I38" s="2385">
        <x:v>34</x:v>
      </x:c>
      <x:c r="J38" s="2590" t="s">
        <x:v>115</x:v>
      </x:c>
      <x:c r="K38" s="2590" t="s">
        <x:v>172</x:v>
      </x:c>
      <x:c r="L38" s="2590" t="s">
        <x:v>119</x:v>
      </x:c>
      <x:c r="M38" s="2581" t="s">
        <x:v>540</x:v>
      </x:c>
      <x:c r="N38" s="1155"/>
    </x:row>
    <x:row r="39" ht="54.75" customHeight="1">
      <x:c r="A39" s="2796">
        <x:v>45658</x:v>
      </x:c>
      <x:c r="B39" s="2797">
        <x:v>45747</x:v>
      </x:c>
      <x:c r="C39" s="2590" t="s">
        <x:v>534</x:v>
      </x:c>
      <x:c r="D39" s="2590" t="s">
        <x:v>179</x:v>
      </x:c>
      <x:c r="E39" s="2590" t="s">
        <x:v>535</x:v>
      </x:c>
      <x:c r="F39" s="2590" t="s">
        <x:v>404</x:v>
      </x:c>
      <x:c r="G39" s="2590" t="s">
        <x:v>410</x:v>
      </x:c>
      <x:c r="H39" s="2591" t="s">
        <x:v>354</x:v>
      </x:c>
      <x:c r="I39" s="2385">
        <x:v>28</x:v>
      </x:c>
      <x:c r="J39" s="2590" t="s">
        <x:v>123</x:v>
      </x:c>
      <x:c r="K39" s="2590" t="s">
        <x:v>177</x:v>
      </x:c>
      <x:c r="L39" s="2590" t="s">
        <x:v>126</x:v>
      </x:c>
      <x:c r="M39" s="2581" t="s">
        <x:v>541</x:v>
      </x:c>
      <x:c r="N39" s="1155"/>
    </x:row>
    <x:row r="40" ht="54.75" customHeight="1">
      <x:c r="A40" s="2796">
        <x:v>45748</x:v>
      </x:c>
      <x:c r="B40" s="2797">
        <x:v>45838</x:v>
      </x:c>
      <x:c r="C40" s="2590" t="s">
        <x:v>534</x:v>
      </x:c>
      <x:c r="D40" s="2590" t="s">
        <x:v>185</x:v>
      </x:c>
      <x:c r="E40" s="2590" t="s">
        <x:v>535</x:v>
      </x:c>
      <x:c r="F40" s="2590" t="s">
        <x:v>404</x:v>
      </x:c>
      <x:c r="G40" s="2590" t="s">
        <x:v>410</x:v>
      </x:c>
      <x:c r="H40" s="2591" t="s">
        <x:v>354</x:v>
      </x:c>
      <x:c r="I40" s="2385">
        <x:v>12</x:v>
      </x:c>
      <x:c r="J40" s="2590" t="s">
        <x:v>123</x:v>
      </x:c>
      <x:c r="K40" s="2590" t="s">
        <x:v>183</x:v>
      </x:c>
      <x:c r="L40" s="2590" t="s">
        <x:v>126</x:v>
      </x:c>
      <x:c r="M40" s="2581" t="s">
        <x:v>541</x:v>
      </x:c>
      <x:c r="N40" s="1155"/>
    </x:row>
    <x:row r="41" ht="54.75" customHeight="1">
      <x:c r="A41" s="2796">
        <x:v>45962</x:v>
      </x:c>
      <x:c r="B41" s="2797">
        <x:v>46022</x:v>
      </x:c>
      <x:c r="C41" s="2590" t="s">
        <x:v>538</x:v>
      </x:c>
      <x:c r="D41" s="2590" t="s">
        <x:v>190</x:v>
      </x:c>
      <x:c r="E41" s="2590" t="s">
        <x:v>95</x:v>
      </x:c>
      <x:c r="F41" s="2590" t="s">
        <x:v>404</x:v>
      </x:c>
      <x:c r="G41" s="2590" t="s">
        <x:v>410</x:v>
      </x:c>
      <x:c r="H41" s="2591" t="s">
        <x:v>354</x:v>
      </x:c>
      <x:c r="I41" s="2385">
        <x:v>0</x:v>
      </x:c>
      <x:c r="J41" s="2590" t="s">
        <x:v>137</x:v>
      </x:c>
      <x:c r="K41" s="2590" t="s">
        <x:v>188</x:v>
      </x:c>
      <x:c r="L41" s="2590" t="s">
        <x:v>140</x:v>
      </x:c>
      <x:c r="M41" s="2581" t="s">
        <x:v>542</x:v>
      </x:c>
      <x:c r="N41" s="1155"/>
    </x:row>
    <x:row r="42" ht="54.75" customHeight="1">
      <x:c r="A42" s="2796">
        <x:v>45474</x:v>
      </x:c>
      <x:c r="B42" s="2797">
        <x:v>45565</x:v>
      </x:c>
      <x:c r="C42" s="2590" t="s">
        <x:v>534</x:v>
      </x:c>
      <x:c r="D42" s="2590" t="s">
        <x:v>164</x:v>
      </x:c>
      <x:c r="E42" s="2590" t="s">
        <x:v>535</x:v>
      </x:c>
      <x:c r="F42" s="2590" t="s">
        <x:v>404</x:v>
      </x:c>
      <x:c r="G42" s="2590" t="s">
        <x:v>410</x:v>
      </x:c>
      <x:c r="H42" s="2591" t="s">
        <x:v>495</x:v>
      </x:c>
      <x:c r="I42" s="2385">
        <x:v>2</x:v>
      </x:c>
      <x:c r="J42" s="2590" t="s">
        <x:v>115</x:v>
      </x:c>
      <x:c r="K42" s="2590" t="s">
        <x:v>160</x:v>
      </x:c>
      <x:c r="L42" s="2590" t="s">
        <x:v>119</x:v>
      </x:c>
      <x:c r="M42" s="2581" t="s">
        <x:v>536</x:v>
      </x:c>
      <x:c r="N42" s="1155"/>
    </x:row>
    <x:row r="43" ht="54.75" customHeight="1">
      <x:c r="A43" s="2796">
        <x:v>45566</x:v>
      </x:c>
      <x:c r="B43" s="2797">
        <x:v>45657</x:v>
      </x:c>
      <x:c r="C43" s="2590" t="s">
        <x:v>534</x:v>
      </x:c>
      <x:c r="D43" s="2590" t="s">
        <x:v>174</x:v>
      </x:c>
      <x:c r="E43" s="2590" t="s">
        <x:v>535</x:v>
      </x:c>
      <x:c r="F43" s="2590" t="s">
        <x:v>404</x:v>
      </x:c>
      <x:c r="G43" s="2590" t="s">
        <x:v>410</x:v>
      </x:c>
      <x:c r="H43" s="2591" t="s">
        <x:v>495</x:v>
      </x:c>
      <x:c r="I43" s="2385">
        <x:v>0</x:v>
      </x:c>
      <x:c r="J43" s="2590" t="s">
        <x:v>115</x:v>
      </x:c>
      <x:c r="K43" s="2590" t="s">
        <x:v>172</x:v>
      </x:c>
      <x:c r="L43" s="2590" t="s">
        <x:v>119</x:v>
      </x:c>
      <x:c r="M43" s="2581" t="s">
        <x:v>536</x:v>
      </x:c>
      <x:c r="N43" s="1155"/>
    </x:row>
    <x:row r="44" ht="54.75" customHeight="1">
      <x:c r="A44" s="2796">
        <x:v>45658</x:v>
      </x:c>
      <x:c r="B44" s="2797">
        <x:v>45747</x:v>
      </x:c>
      <x:c r="C44" s="2590" t="s">
        <x:v>534</x:v>
      </x:c>
      <x:c r="D44" s="2590" t="s">
        <x:v>179</x:v>
      </x:c>
      <x:c r="E44" s="2590" t="s">
        <x:v>535</x:v>
      </x:c>
      <x:c r="F44" s="2590" t="s">
        <x:v>404</x:v>
      </x:c>
      <x:c r="G44" s="2590" t="s">
        <x:v>410</x:v>
      </x:c>
      <x:c r="H44" s="2591" t="s">
        <x:v>495</x:v>
      </x:c>
      <x:c r="I44" s="2385">
        <x:v>5</x:v>
      </x:c>
      <x:c r="J44" s="2590" t="s">
        <x:v>123</x:v>
      </x:c>
      <x:c r="K44" s="2590" t="s">
        <x:v>177</x:v>
      </x:c>
      <x:c r="L44" s="2590" t="s">
        <x:v>126</x:v>
      </x:c>
      <x:c r="M44" s="2581" t="s">
        <x:v>537</x:v>
      </x:c>
      <x:c r="N44" s="1155"/>
    </x:row>
    <x:row r="45" ht="54.75" customHeight="1">
      <x:c r="A45" s="2796">
        <x:v>45748</x:v>
      </x:c>
      <x:c r="B45" s="2797">
        <x:v>45838</x:v>
      </x:c>
      <x:c r="C45" s="2590" t="s">
        <x:v>534</x:v>
      </x:c>
      <x:c r="D45" s="2590" t="s">
        <x:v>185</x:v>
      </x:c>
      <x:c r="E45" s="2590" t="s">
        <x:v>535</x:v>
      </x:c>
      <x:c r="F45" s="2590" t="s">
        <x:v>404</x:v>
      </x:c>
      <x:c r="G45" s="2590" t="s">
        <x:v>410</x:v>
      </x:c>
      <x:c r="H45" s="2591" t="s">
        <x:v>495</x:v>
      </x:c>
      <x:c r="I45" s="2385">
        <x:v>4</x:v>
      </x:c>
      <x:c r="J45" s="2590" t="s">
        <x:v>123</x:v>
      </x:c>
      <x:c r="K45" s="2590" t="s">
        <x:v>183</x:v>
      </x:c>
      <x:c r="L45" s="2590" t="s">
        <x:v>126</x:v>
      </x:c>
      <x:c r="M45" s="2581" t="s">
        <x:v>537</x:v>
      </x:c>
      <x:c r="N45" s="1155"/>
    </x:row>
    <x:row r="46" ht="54.75" customHeight="1">
      <x:c r="A46" s="2796">
        <x:v>45962</x:v>
      </x:c>
      <x:c r="B46" s="2797">
        <x:v>46022</x:v>
      </x:c>
      <x:c r="C46" s="2590" t="s">
        <x:v>538</x:v>
      </x:c>
      <x:c r="D46" s="2590" t="s">
        <x:v>190</x:v>
      </x:c>
      <x:c r="E46" s="2590" t="s">
        <x:v>95</x:v>
      </x:c>
      <x:c r="F46" s="2590" t="s">
        <x:v>404</x:v>
      </x:c>
      <x:c r="G46" s="2590" t="s">
        <x:v>410</x:v>
      </x:c>
      <x:c r="H46" s="2591" t="s">
        <x:v>495</x:v>
      </x:c>
      <x:c r="I46" s="2385">
        <x:v>0</x:v>
      </x:c>
      <x:c r="J46" s="2590" t="s">
        <x:v>137</x:v>
      </x:c>
      <x:c r="K46" s="2590" t="s">
        <x:v>188</x:v>
      </x:c>
      <x:c r="L46" s="2590" t="s">
        <x:v>140</x:v>
      </x:c>
      <x:c r="M46" s="2581" t="s">
        <x:v>539</x:v>
      </x:c>
      <x:c r="N46" s="1155"/>
    </x:row>
    <x:row r="47" ht="54.75" customHeight="1">
      <x:c r="A47" s="2796">
        <x:v>45474</x:v>
      </x:c>
      <x:c r="B47" s="2797">
        <x:v>45565</x:v>
      </x:c>
      <x:c r="C47" s="2590" t="s">
        <x:v>534</x:v>
      </x:c>
      <x:c r="D47" s="2590" t="s">
        <x:v>164</x:v>
      </x:c>
      <x:c r="E47" s="2590" t="s">
        <x:v>535</x:v>
      </x:c>
      <x:c r="F47" s="2590" t="s">
        <x:v>404</x:v>
      </x:c>
      <x:c r="G47" s="2590" t="s">
        <x:v>543</x:v>
      </x:c>
      <x:c r="H47" s="2591" t="s">
        <x:v>498</x:v>
      </x:c>
      <x:c r="I47" s="2385">
        <x:v>24</x:v>
      </x:c>
      <x:c r="J47" s="2590" t="s">
        <x:v>115</x:v>
      </x:c>
      <x:c r="K47" s="2590" t="s">
        <x:v>160</x:v>
      </x:c>
      <x:c r="L47" s="2590" t="s">
        <x:v>119</x:v>
      </x:c>
      <x:c r="M47" s="2581" t="s">
        <x:v>536</x:v>
      </x:c>
      <x:c r="N47" s="1155"/>
    </x:row>
    <x:row r="48" ht="54.75" customHeight="1">
      <x:c r="A48" s="2796">
        <x:v>45566</x:v>
      </x:c>
      <x:c r="B48" s="2797">
        <x:v>45657</x:v>
      </x:c>
      <x:c r="C48" s="2590" t="s">
        <x:v>534</x:v>
      </x:c>
      <x:c r="D48" s="2590" t="s">
        <x:v>174</x:v>
      </x:c>
      <x:c r="E48" s="2590" t="s">
        <x:v>535</x:v>
      </x:c>
      <x:c r="F48" s="2590" t="s">
        <x:v>404</x:v>
      </x:c>
      <x:c r="G48" s="2590" t="s">
        <x:v>543</x:v>
      </x:c>
      <x:c r="H48" s="2591" t="s">
        <x:v>498</x:v>
      </x:c>
      <x:c r="I48" s="2385">
        <x:v>16</x:v>
      </x:c>
      <x:c r="J48" s="2590" t="s">
        <x:v>115</x:v>
      </x:c>
      <x:c r="K48" s="2590" t="s">
        <x:v>172</x:v>
      </x:c>
      <x:c r="L48" s="2590" t="s">
        <x:v>119</x:v>
      </x:c>
      <x:c r="M48" s="2581" t="s">
        <x:v>536</x:v>
      </x:c>
      <x:c r="N48" s="1155"/>
    </x:row>
    <x:row r="49" ht="54.75" customHeight="1">
      <x:c r="A49" s="2796">
        <x:v>45658</x:v>
      </x:c>
      <x:c r="B49" s="2797">
        <x:v>45747</x:v>
      </x:c>
      <x:c r="C49" s="2590" t="s">
        <x:v>534</x:v>
      </x:c>
      <x:c r="D49" s="2590" t="s">
        <x:v>179</x:v>
      </x:c>
      <x:c r="E49" s="2590" t="s">
        <x:v>535</x:v>
      </x:c>
      <x:c r="F49" s="2590" t="s">
        <x:v>404</x:v>
      </x:c>
      <x:c r="G49" s="2590" t="s">
        <x:v>543</x:v>
      </x:c>
      <x:c r="H49" s="2591" t="s">
        <x:v>498</x:v>
      </x:c>
      <x:c r="I49" s="2385">
        <x:v>9</x:v>
      </x:c>
      <x:c r="J49" s="2590" t="s">
        <x:v>123</x:v>
      </x:c>
      <x:c r="K49" s="2590" t="s">
        <x:v>177</x:v>
      </x:c>
      <x:c r="L49" s="2590" t="s">
        <x:v>126</x:v>
      </x:c>
      <x:c r="M49" s="2581" t="s">
        <x:v>537</x:v>
      </x:c>
      <x:c r="N49" s="1155"/>
    </x:row>
    <x:row r="50" ht="54.75" customHeight="1">
      <x:c r="A50" s="2796">
        <x:v>45748</x:v>
      </x:c>
      <x:c r="B50" s="2797">
        <x:v>45838</x:v>
      </x:c>
      <x:c r="C50" s="2590" t="s">
        <x:v>534</x:v>
      </x:c>
      <x:c r="D50" s="2590" t="s">
        <x:v>185</x:v>
      </x:c>
      <x:c r="E50" s="2590" t="s">
        <x:v>535</x:v>
      </x:c>
      <x:c r="F50" s="2590" t="s">
        <x:v>404</x:v>
      </x:c>
      <x:c r="G50" s="2590" t="s">
        <x:v>543</x:v>
      </x:c>
      <x:c r="H50" s="2591" t="s">
        <x:v>498</x:v>
      </x:c>
      <x:c r="I50" s="2385">
        <x:v>70</x:v>
      </x:c>
      <x:c r="J50" s="2590" t="s">
        <x:v>123</x:v>
      </x:c>
      <x:c r="K50" s="2590" t="s">
        <x:v>183</x:v>
      </x:c>
      <x:c r="L50" s="2590" t="s">
        <x:v>126</x:v>
      </x:c>
      <x:c r="M50" s="2581" t="s">
        <x:v>537</x:v>
      </x:c>
      <x:c r="N50" s="1155"/>
    </x:row>
    <x:row r="51" ht="54.75" customHeight="1">
      <x:c r="A51" s="2796">
        <x:v>45962</x:v>
      </x:c>
      <x:c r="B51" s="2797">
        <x:v>46022</x:v>
      </x:c>
      <x:c r="C51" s="2590" t="s">
        <x:v>538</x:v>
      </x:c>
      <x:c r="D51" s="2590" t="s">
        <x:v>190</x:v>
      </x:c>
      <x:c r="E51" s="2590" t="s">
        <x:v>95</x:v>
      </x:c>
      <x:c r="F51" s="2590" t="s">
        <x:v>404</x:v>
      </x:c>
      <x:c r="G51" s="2590" t="s">
        <x:v>543</x:v>
      </x:c>
      <x:c r="H51" s="2591" t="s">
        <x:v>498</x:v>
      </x:c>
      <x:c r="I51" s="2385">
        <x:v>7</x:v>
      </x:c>
      <x:c r="J51" s="2590" t="s">
        <x:v>137</x:v>
      </x:c>
      <x:c r="K51" s="2590" t="s">
        <x:v>188</x:v>
      </x:c>
      <x:c r="L51" s="2590" t="s">
        <x:v>140</x:v>
      </x:c>
      <x:c r="M51" s="2581" t="s">
        <x:v>539</x:v>
      </x:c>
      <x:c r="N51" s="1155"/>
    </x:row>
    <x:row r="52" ht="54.75" customHeight="1">
      <x:c r="A52" s="2796">
        <x:v>45474</x:v>
      </x:c>
      <x:c r="B52" s="2797">
        <x:v>45565</x:v>
      </x:c>
      <x:c r="C52" s="2590" t="s">
        <x:v>534</x:v>
      </x:c>
      <x:c r="D52" s="2590" t="s">
        <x:v>164</x:v>
      </x:c>
      <x:c r="E52" s="2590" t="s">
        <x:v>535</x:v>
      </x:c>
      <x:c r="F52" s="2590" t="s">
        <x:v>404</x:v>
      </x:c>
      <x:c r="G52" s="2590" t="s">
        <x:v>543</x:v>
      </x:c>
      <x:c r="H52" s="2591" t="s">
        <x:v>499</x:v>
      </x:c>
      <x:c r="I52" s="2385">
        <x:v>0</x:v>
      </x:c>
      <x:c r="J52" s="2590" t="s">
        <x:v>115</x:v>
      </x:c>
      <x:c r="K52" s="2590" t="s">
        <x:v>160</x:v>
      </x:c>
      <x:c r="L52" s="2590" t="s">
        <x:v>119</x:v>
      </x:c>
      <x:c r="M52" s="2581" t="s">
        <x:v>536</x:v>
      </x:c>
      <x:c r="N52" s="1155"/>
    </x:row>
    <x:row r="53" ht="54.75" customHeight="1">
      <x:c r="A53" s="2796">
        <x:v>45566</x:v>
      </x:c>
      <x:c r="B53" s="2797">
        <x:v>45657</x:v>
      </x:c>
      <x:c r="C53" s="2590" t="s">
        <x:v>534</x:v>
      </x:c>
      <x:c r="D53" s="2590" t="s">
        <x:v>174</x:v>
      </x:c>
      <x:c r="E53" s="2590" t="s">
        <x:v>535</x:v>
      </x:c>
      <x:c r="F53" s="2590" t="s">
        <x:v>404</x:v>
      </x:c>
      <x:c r="G53" s="2590" t="s">
        <x:v>543</x:v>
      </x:c>
      <x:c r="H53" s="2591" t="s">
        <x:v>499</x:v>
      </x:c>
      <x:c r="I53" s="2385">
        <x:v>0</x:v>
      </x:c>
      <x:c r="J53" s="2590" t="s">
        <x:v>115</x:v>
      </x:c>
      <x:c r="K53" s="2590" t="s">
        <x:v>172</x:v>
      </x:c>
      <x:c r="L53" s="2590" t="s">
        <x:v>119</x:v>
      </x:c>
      <x:c r="M53" s="2581" t="s">
        <x:v>536</x:v>
      </x:c>
      <x:c r="N53" s="1155"/>
    </x:row>
    <x:row r="54" ht="54.75" customHeight="1">
      <x:c r="A54" s="2796">
        <x:v>45658</x:v>
      </x:c>
      <x:c r="B54" s="2797">
        <x:v>45747</x:v>
      </x:c>
      <x:c r="C54" s="2590" t="s">
        <x:v>534</x:v>
      </x:c>
      <x:c r="D54" s="2590" t="s">
        <x:v>179</x:v>
      </x:c>
      <x:c r="E54" s="2590" t="s">
        <x:v>535</x:v>
      </x:c>
      <x:c r="F54" s="2590" t="s">
        <x:v>404</x:v>
      </x:c>
      <x:c r="G54" s="2590" t="s">
        <x:v>543</x:v>
      </x:c>
      <x:c r="H54" s="2591" t="s">
        <x:v>499</x:v>
      </x:c>
      <x:c r="I54" s="2385">
        <x:v>0</x:v>
      </x:c>
      <x:c r="J54" s="2590" t="s">
        <x:v>123</x:v>
      </x:c>
      <x:c r="K54" s="2590" t="s">
        <x:v>177</x:v>
      </x:c>
      <x:c r="L54" s="2590" t="s">
        <x:v>126</x:v>
      </x:c>
      <x:c r="M54" s="2581" t="s">
        <x:v>537</x:v>
      </x:c>
      <x:c r="N54" s="1155"/>
    </x:row>
    <x:row r="55" ht="54.75" customHeight="1">
      <x:c r="A55" s="2796">
        <x:v>45748</x:v>
      </x:c>
      <x:c r="B55" s="2797">
        <x:v>45838</x:v>
      </x:c>
      <x:c r="C55" s="2590" t="s">
        <x:v>534</x:v>
      </x:c>
      <x:c r="D55" s="2590" t="s">
        <x:v>185</x:v>
      </x:c>
      <x:c r="E55" s="2590" t="s">
        <x:v>535</x:v>
      </x:c>
      <x:c r="F55" s="2590" t="s">
        <x:v>404</x:v>
      </x:c>
      <x:c r="G55" s="2590" t="s">
        <x:v>543</x:v>
      </x:c>
      <x:c r="H55" s="2591" t="s">
        <x:v>499</x:v>
      </x:c>
      <x:c r="I55" s="2385">
        <x:v>0</x:v>
      </x:c>
      <x:c r="J55" s="2590" t="s">
        <x:v>123</x:v>
      </x:c>
      <x:c r="K55" s="2590" t="s">
        <x:v>183</x:v>
      </x:c>
      <x:c r="L55" s="2590" t="s">
        <x:v>126</x:v>
      </x:c>
      <x:c r="M55" s="2581" t="s">
        <x:v>537</x:v>
      </x:c>
      <x:c r="N55" s="1155"/>
    </x:row>
    <x:row r="56" ht="54.75" customHeight="1">
      <x:c r="A56" s="2796">
        <x:v>45962</x:v>
      </x:c>
      <x:c r="B56" s="2797">
        <x:v>46022</x:v>
      </x:c>
      <x:c r="C56" s="2590" t="s">
        <x:v>538</x:v>
      </x:c>
      <x:c r="D56" s="2590" t="s">
        <x:v>190</x:v>
      </x:c>
      <x:c r="E56" s="2590" t="s">
        <x:v>95</x:v>
      </x:c>
      <x:c r="F56" s="2590" t="s">
        <x:v>404</x:v>
      </x:c>
      <x:c r="G56" s="2590" t="s">
        <x:v>543</x:v>
      </x:c>
      <x:c r="H56" s="2591" t="s">
        <x:v>499</x:v>
      </x:c>
      <x:c r="I56" s="2385">
        <x:v>0</x:v>
      </x:c>
      <x:c r="J56" s="2590" t="s">
        <x:v>137</x:v>
      </x:c>
      <x:c r="K56" s="2590" t="s">
        <x:v>188</x:v>
      </x:c>
      <x:c r="L56" s="2590" t="s">
        <x:v>140</x:v>
      </x:c>
      <x:c r="M56" s="2581" t="s">
        <x:v>539</x:v>
      </x:c>
      <x:c r="N56" s="1155"/>
    </x:row>
    <x:row r="57" ht="54.75" customHeight="1">
      <x:c r="A57" s="2796">
        <x:v>45474</x:v>
      </x:c>
      <x:c r="B57" s="2797">
        <x:v>45565</x:v>
      </x:c>
      <x:c r="C57" s="2590" t="s">
        <x:v>534</x:v>
      </x:c>
      <x:c r="D57" s="2590" t="s">
        <x:v>164</x:v>
      </x:c>
      <x:c r="E57" s="2590" t="s">
        <x:v>535</x:v>
      </x:c>
      <x:c r="F57" s="2590" t="s">
        <x:v>404</x:v>
      </x:c>
      <x:c r="G57" s="2590" t="s">
        <x:v>543</x:v>
      </x:c>
      <x:c r="H57" s="2591" t="s">
        <x:v>500</x:v>
      </x:c>
      <x:c r="I57" s="2385">
        <x:v>0</x:v>
      </x:c>
      <x:c r="J57" s="2590" t="s">
        <x:v>115</x:v>
      </x:c>
      <x:c r="K57" s="2590" t="s">
        <x:v>160</x:v>
      </x:c>
      <x:c r="L57" s="2590" t="s">
        <x:v>119</x:v>
      </x:c>
      <x:c r="M57" s="2581" t="s">
        <x:v>536</x:v>
      </x:c>
      <x:c r="N57" s="1155"/>
    </x:row>
    <x:row r="58" ht="54.75" customHeight="1">
      <x:c r="A58" s="2796">
        <x:v>45566</x:v>
      </x:c>
      <x:c r="B58" s="2797">
        <x:v>45657</x:v>
      </x:c>
      <x:c r="C58" s="2590" t="s">
        <x:v>534</x:v>
      </x:c>
      <x:c r="D58" s="2590" t="s">
        <x:v>174</x:v>
      </x:c>
      <x:c r="E58" s="2590" t="s">
        <x:v>535</x:v>
      </x:c>
      <x:c r="F58" s="2590" t="s">
        <x:v>404</x:v>
      </x:c>
      <x:c r="G58" s="2590" t="s">
        <x:v>543</x:v>
      </x:c>
      <x:c r="H58" s="2591" t="s">
        <x:v>500</x:v>
      </x:c>
      <x:c r="I58" s="2385">
        <x:v>0</x:v>
      </x:c>
      <x:c r="J58" s="2590" t="s">
        <x:v>115</x:v>
      </x:c>
      <x:c r="K58" s="2590" t="s">
        <x:v>172</x:v>
      </x:c>
      <x:c r="L58" s="2590" t="s">
        <x:v>119</x:v>
      </x:c>
      <x:c r="M58" s="2581" t="s">
        <x:v>536</x:v>
      </x:c>
      <x:c r="N58" s="1155"/>
    </x:row>
    <x:row r="59" ht="54.75" customHeight="1">
      <x:c r="A59" s="2796">
        <x:v>45658</x:v>
      </x:c>
      <x:c r="B59" s="2797">
        <x:v>45747</x:v>
      </x:c>
      <x:c r="C59" s="2590" t="s">
        <x:v>534</x:v>
      </x:c>
      <x:c r="D59" s="2590" t="s">
        <x:v>179</x:v>
      </x:c>
      <x:c r="E59" s="2590" t="s">
        <x:v>535</x:v>
      </x:c>
      <x:c r="F59" s="2590" t="s">
        <x:v>404</x:v>
      </x:c>
      <x:c r="G59" s="2590" t="s">
        <x:v>543</x:v>
      </x:c>
      <x:c r="H59" s="2591" t="s">
        <x:v>500</x:v>
      </x:c>
      <x:c r="I59" s="2385">
        <x:v>0</x:v>
      </x:c>
      <x:c r="J59" s="2590" t="s">
        <x:v>123</x:v>
      </x:c>
      <x:c r="K59" s="2590" t="s">
        <x:v>177</x:v>
      </x:c>
      <x:c r="L59" s="2590" t="s">
        <x:v>126</x:v>
      </x:c>
      <x:c r="M59" s="2581" t="s">
        <x:v>537</x:v>
      </x:c>
      <x:c r="N59" s="1155"/>
    </x:row>
    <x:row r="60" ht="54.75" customHeight="1">
      <x:c r="A60" s="2796">
        <x:v>45748</x:v>
      </x:c>
      <x:c r="B60" s="2797">
        <x:v>45838</x:v>
      </x:c>
      <x:c r="C60" s="2590" t="s">
        <x:v>534</x:v>
      </x:c>
      <x:c r="D60" s="2590" t="s">
        <x:v>185</x:v>
      </x:c>
      <x:c r="E60" s="2590" t="s">
        <x:v>535</x:v>
      </x:c>
      <x:c r="F60" s="2590" t="s">
        <x:v>404</x:v>
      </x:c>
      <x:c r="G60" s="2590" t="s">
        <x:v>543</x:v>
      </x:c>
      <x:c r="H60" s="2591" t="s">
        <x:v>500</x:v>
      </x:c>
      <x:c r="I60" s="2385">
        <x:v>0</x:v>
      </x:c>
      <x:c r="J60" s="2590" t="s">
        <x:v>123</x:v>
      </x:c>
      <x:c r="K60" s="2590" t="s">
        <x:v>183</x:v>
      </x:c>
      <x:c r="L60" s="2590" t="s">
        <x:v>126</x:v>
      </x:c>
      <x:c r="M60" s="2581" t="s">
        <x:v>537</x:v>
      </x:c>
      <x:c r="N60" s="1155"/>
    </x:row>
    <x:row r="61" ht="54.75" customHeight="1">
      <x:c r="A61" s="2796">
        <x:v>45962</x:v>
      </x:c>
      <x:c r="B61" s="2797">
        <x:v>46022</x:v>
      </x:c>
      <x:c r="C61" s="2590" t="s">
        <x:v>538</x:v>
      </x:c>
      <x:c r="D61" s="2590" t="s">
        <x:v>190</x:v>
      </x:c>
      <x:c r="E61" s="2590" t="s">
        <x:v>95</x:v>
      </x:c>
      <x:c r="F61" s="2590" t="s">
        <x:v>404</x:v>
      </x:c>
      <x:c r="G61" s="2590" t="s">
        <x:v>543</x:v>
      </x:c>
      <x:c r="H61" s="2591" t="s">
        <x:v>500</x:v>
      </x:c>
      <x:c r="I61" s="2385">
        <x:v>0</x:v>
      </x:c>
      <x:c r="J61" s="2590" t="s">
        <x:v>137</x:v>
      </x:c>
      <x:c r="K61" s="2590" t="s">
        <x:v>188</x:v>
      </x:c>
      <x:c r="L61" s="2590" t="s">
        <x:v>140</x:v>
      </x:c>
      <x:c r="M61" s="2581" t="s">
        <x:v>539</x:v>
      </x:c>
      <x:c r="N61" s="1155"/>
    </x:row>
    <x:row r="62" ht="54.75" customHeight="1">
      <x:c r="A62" s="2796">
        <x:v>45474</x:v>
      </x:c>
      <x:c r="B62" s="2797">
        <x:v>45565</x:v>
      </x:c>
      <x:c r="C62" s="2590" t="s">
        <x:v>534</x:v>
      </x:c>
      <x:c r="D62" s="2590" t="s">
        <x:v>164</x:v>
      </x:c>
      <x:c r="E62" s="2590" t="s">
        <x:v>535</x:v>
      </x:c>
      <x:c r="F62" s="2590" t="s">
        <x:v>404</x:v>
      </x:c>
      <x:c r="G62" s="2590" t="s">
        <x:v>543</x:v>
      </x:c>
      <x:c r="H62" s="2591" t="s">
        <x:v>501</x:v>
      </x:c>
      <x:c r="I62" s="2385">
        <x:v>0</x:v>
      </x:c>
      <x:c r="J62" s="2590" t="s">
        <x:v>115</x:v>
      </x:c>
      <x:c r="K62" s="2590" t="s">
        <x:v>160</x:v>
      </x:c>
      <x:c r="L62" s="2590" t="s">
        <x:v>119</x:v>
      </x:c>
      <x:c r="M62" s="2581" t="s">
        <x:v>536</x:v>
      </x:c>
      <x:c r="N62" s="1155"/>
    </x:row>
    <x:row r="63" ht="54.75" customHeight="1">
      <x:c r="A63" s="2796">
        <x:v>45566</x:v>
      </x:c>
      <x:c r="B63" s="2797">
        <x:v>45657</x:v>
      </x:c>
      <x:c r="C63" s="2590" t="s">
        <x:v>534</x:v>
      </x:c>
      <x:c r="D63" s="2590" t="s">
        <x:v>174</x:v>
      </x:c>
      <x:c r="E63" s="2590" t="s">
        <x:v>535</x:v>
      </x:c>
      <x:c r="F63" s="2590" t="s">
        <x:v>404</x:v>
      </x:c>
      <x:c r="G63" s="2590" t="s">
        <x:v>543</x:v>
      </x:c>
      <x:c r="H63" s="2591" t="s">
        <x:v>501</x:v>
      </x:c>
      <x:c r="I63" s="2385">
        <x:v>0</x:v>
      </x:c>
      <x:c r="J63" s="2590" t="s">
        <x:v>115</x:v>
      </x:c>
      <x:c r="K63" s="2590" t="s">
        <x:v>172</x:v>
      </x:c>
      <x:c r="L63" s="2590" t="s">
        <x:v>119</x:v>
      </x:c>
      <x:c r="M63" s="2581" t="s">
        <x:v>536</x:v>
      </x:c>
      <x:c r="N63" s="1155"/>
    </x:row>
    <x:row r="64" ht="54.75" customHeight="1">
      <x:c r="A64" s="2796">
        <x:v>45658</x:v>
      </x:c>
      <x:c r="B64" s="2797">
        <x:v>45747</x:v>
      </x:c>
      <x:c r="C64" s="2590" t="s">
        <x:v>534</x:v>
      </x:c>
      <x:c r="D64" s="2590" t="s">
        <x:v>179</x:v>
      </x:c>
      <x:c r="E64" s="2590" t="s">
        <x:v>535</x:v>
      </x:c>
      <x:c r="F64" s="2590" t="s">
        <x:v>404</x:v>
      </x:c>
      <x:c r="G64" s="2590" t="s">
        <x:v>543</x:v>
      </x:c>
      <x:c r="H64" s="2591" t="s">
        <x:v>501</x:v>
      </x:c>
      <x:c r="I64" s="2385">
        <x:v>0</x:v>
      </x:c>
      <x:c r="J64" s="2590" t="s">
        <x:v>123</x:v>
      </x:c>
      <x:c r="K64" s="2590" t="s">
        <x:v>177</x:v>
      </x:c>
      <x:c r="L64" s="2590" t="s">
        <x:v>126</x:v>
      </x:c>
      <x:c r="M64" s="2581" t="s">
        <x:v>537</x:v>
      </x:c>
      <x:c r="N64" s="1155"/>
    </x:row>
    <x:row r="65" ht="54.75" customHeight="1">
      <x:c r="A65" s="2796">
        <x:v>45748</x:v>
      </x:c>
      <x:c r="B65" s="2797">
        <x:v>45838</x:v>
      </x:c>
      <x:c r="C65" s="2590" t="s">
        <x:v>534</x:v>
      </x:c>
      <x:c r="D65" s="2590" t="s">
        <x:v>185</x:v>
      </x:c>
      <x:c r="E65" s="2590" t="s">
        <x:v>535</x:v>
      </x:c>
      <x:c r="F65" s="2590" t="s">
        <x:v>404</x:v>
      </x:c>
      <x:c r="G65" s="2590" t="s">
        <x:v>543</x:v>
      </x:c>
      <x:c r="H65" s="2591" t="s">
        <x:v>501</x:v>
      </x:c>
      <x:c r="I65" s="2385">
        <x:v>0</x:v>
      </x:c>
      <x:c r="J65" s="2590" t="s">
        <x:v>123</x:v>
      </x:c>
      <x:c r="K65" s="2590" t="s">
        <x:v>183</x:v>
      </x:c>
      <x:c r="L65" s="2590" t="s">
        <x:v>126</x:v>
      </x:c>
      <x:c r="M65" s="2581" t="s">
        <x:v>537</x:v>
      </x:c>
      <x:c r="N65" s="1155"/>
    </x:row>
    <x:row r="66" ht="54.75" customHeight="1">
      <x:c r="A66" s="2796">
        <x:v>45962</x:v>
      </x:c>
      <x:c r="B66" s="2797">
        <x:v>46022</x:v>
      </x:c>
      <x:c r="C66" s="2590" t="s">
        <x:v>538</x:v>
      </x:c>
      <x:c r="D66" s="2590" t="s">
        <x:v>190</x:v>
      </x:c>
      <x:c r="E66" s="2590" t="s">
        <x:v>95</x:v>
      </x:c>
      <x:c r="F66" s="2590" t="s">
        <x:v>404</x:v>
      </x:c>
      <x:c r="G66" s="2590" t="s">
        <x:v>543</x:v>
      </x:c>
      <x:c r="H66" s="2591" t="s">
        <x:v>501</x:v>
      </x:c>
      <x:c r="I66" s="2385">
        <x:v>0</x:v>
      </x:c>
      <x:c r="J66" s="2590" t="s">
        <x:v>137</x:v>
      </x:c>
      <x:c r="K66" s="2590" t="s">
        <x:v>188</x:v>
      </x:c>
      <x:c r="L66" s="2590" t="s">
        <x:v>140</x:v>
      </x:c>
      <x:c r="M66" s="2581" t="s">
        <x:v>539</x:v>
      </x:c>
      <x:c r="N66" s="1155"/>
    </x:row>
    <x:row r="67" ht="54.75" customHeight="1">
      <x:c r="A67" s="2796">
        <x:v>45474</x:v>
      </x:c>
      <x:c r="B67" s="2797">
        <x:v>45565</x:v>
      </x:c>
      <x:c r="C67" s="2590" t="s">
        <x:v>534</x:v>
      </x:c>
      <x:c r="D67" s="2590" t="s">
        <x:v>164</x:v>
      </x:c>
      <x:c r="E67" s="2590" t="s">
        <x:v>535</x:v>
      </x:c>
      <x:c r="F67" s="2590" t="s">
        <x:v>404</x:v>
      </x:c>
      <x:c r="G67" s="2590" t="s">
        <x:v>543</x:v>
      </x:c>
      <x:c r="H67" s="2591" t="s">
        <x:v>502</x:v>
      </x:c>
      <x:c r="I67" s="2385">
        <x:v>4</x:v>
      </x:c>
      <x:c r="J67" s="2590" t="s">
        <x:v>115</x:v>
      </x:c>
      <x:c r="K67" s="2590" t="s">
        <x:v>160</x:v>
      </x:c>
      <x:c r="L67" s="2590" t="s">
        <x:v>119</x:v>
      </x:c>
      <x:c r="M67" s="2581" t="s">
        <x:v>536</x:v>
      </x:c>
      <x:c r="N67" s="1155"/>
    </x:row>
    <x:row r="68" ht="54.75" customHeight="1">
      <x:c r="A68" s="2796">
        <x:v>45566</x:v>
      </x:c>
      <x:c r="B68" s="2797">
        <x:v>45657</x:v>
      </x:c>
      <x:c r="C68" s="2590" t="s">
        <x:v>534</x:v>
      </x:c>
      <x:c r="D68" s="2590" t="s">
        <x:v>174</x:v>
      </x:c>
      <x:c r="E68" s="2590" t="s">
        <x:v>535</x:v>
      </x:c>
      <x:c r="F68" s="2590" t="s">
        <x:v>404</x:v>
      </x:c>
      <x:c r="G68" s="2590" t="s">
        <x:v>543</x:v>
      </x:c>
      <x:c r="H68" s="2591" t="s">
        <x:v>502</x:v>
      </x:c>
      <x:c r="I68" s="2385">
        <x:v>4</x:v>
      </x:c>
      <x:c r="J68" s="2590" t="s">
        <x:v>115</x:v>
      </x:c>
      <x:c r="K68" s="2590" t="s">
        <x:v>172</x:v>
      </x:c>
      <x:c r="L68" s="2590" t="s">
        <x:v>119</x:v>
      </x:c>
      <x:c r="M68" s="2581" t="s">
        <x:v>536</x:v>
      </x:c>
      <x:c r="N68" s="1155"/>
    </x:row>
    <x:row r="69" ht="54.75" customHeight="1">
      <x:c r="A69" s="2796">
        <x:v>45658</x:v>
      </x:c>
      <x:c r="B69" s="2797">
        <x:v>45747</x:v>
      </x:c>
      <x:c r="C69" s="2590" t="s">
        <x:v>534</x:v>
      </x:c>
      <x:c r="D69" s="2590" t="s">
        <x:v>179</x:v>
      </x:c>
      <x:c r="E69" s="2590" t="s">
        <x:v>535</x:v>
      </x:c>
      <x:c r="F69" s="2590" t="s">
        <x:v>404</x:v>
      </x:c>
      <x:c r="G69" s="2590" t="s">
        <x:v>543</x:v>
      </x:c>
      <x:c r="H69" s="2591" t="s">
        <x:v>502</x:v>
      </x:c>
      <x:c r="I69" s="2385">
        <x:v>2</x:v>
      </x:c>
      <x:c r="J69" s="2590" t="s">
        <x:v>123</x:v>
      </x:c>
      <x:c r="K69" s="2590" t="s">
        <x:v>177</x:v>
      </x:c>
      <x:c r="L69" s="2590" t="s">
        <x:v>126</x:v>
      </x:c>
      <x:c r="M69" s="2581" t="s">
        <x:v>537</x:v>
      </x:c>
      <x:c r="N69" s="1155"/>
    </x:row>
    <x:row r="70" ht="54.75" customHeight="1">
      <x:c r="A70" s="2796">
        <x:v>45748</x:v>
      </x:c>
      <x:c r="B70" s="2797">
        <x:v>45838</x:v>
      </x:c>
      <x:c r="C70" s="2590" t="s">
        <x:v>534</x:v>
      </x:c>
      <x:c r="D70" s="2590" t="s">
        <x:v>185</x:v>
      </x:c>
      <x:c r="E70" s="2590" t="s">
        <x:v>535</x:v>
      </x:c>
      <x:c r="F70" s="2590" t="s">
        <x:v>404</x:v>
      </x:c>
      <x:c r="G70" s="2590" t="s">
        <x:v>543</x:v>
      </x:c>
      <x:c r="H70" s="2591" t="s">
        <x:v>502</x:v>
      </x:c>
      <x:c r="I70" s="2385">
        <x:v>0</x:v>
      </x:c>
      <x:c r="J70" s="2590" t="s">
        <x:v>123</x:v>
      </x:c>
      <x:c r="K70" s="2590" t="s">
        <x:v>183</x:v>
      </x:c>
      <x:c r="L70" s="2590" t="s">
        <x:v>126</x:v>
      </x:c>
      <x:c r="M70" s="2581" t="s">
        <x:v>537</x:v>
      </x:c>
      <x:c r="N70" s="1155"/>
    </x:row>
    <x:row r="71" ht="54.75" customHeight="1">
      <x:c r="A71" s="2796">
        <x:v>45962</x:v>
      </x:c>
      <x:c r="B71" s="2797">
        <x:v>46022</x:v>
      </x:c>
      <x:c r="C71" s="2590" t="s">
        <x:v>538</x:v>
      </x:c>
      <x:c r="D71" s="2590" t="s">
        <x:v>190</x:v>
      </x:c>
      <x:c r="E71" s="2590" t="s">
        <x:v>95</x:v>
      </x:c>
      <x:c r="F71" s="2590" t="s">
        <x:v>404</x:v>
      </x:c>
      <x:c r="G71" s="2590" t="s">
        <x:v>543</x:v>
      </x:c>
      <x:c r="H71" s="2591" t="s">
        <x:v>502</x:v>
      </x:c>
      <x:c r="I71" s="2385">
        <x:v>0</x:v>
      </x:c>
      <x:c r="J71" s="2590" t="s">
        <x:v>137</x:v>
      </x:c>
      <x:c r="K71" s="2590" t="s">
        <x:v>188</x:v>
      </x:c>
      <x:c r="L71" s="2590" t="s">
        <x:v>140</x:v>
      </x:c>
      <x:c r="M71" s="2581" t="s">
        <x:v>539</x:v>
      </x:c>
      <x:c r="N71" s="1155"/>
    </x:row>
    <x:row r="72" ht="54.75" customHeight="1">
      <x:c r="A72" s="2796">
        <x:v>45474</x:v>
      </x:c>
      <x:c r="B72" s="2797">
        <x:v>45565</x:v>
      </x:c>
      <x:c r="C72" s="2590" t="s">
        <x:v>534</x:v>
      </x:c>
      <x:c r="D72" s="2590" t="s">
        <x:v>164</x:v>
      </x:c>
      <x:c r="E72" s="2590" t="s">
        <x:v>535</x:v>
      </x:c>
      <x:c r="F72" s="2590" t="s">
        <x:v>404</x:v>
      </x:c>
      <x:c r="G72" s="2590" t="s">
        <x:v>543</x:v>
      </x:c>
      <x:c r="H72" s="2591" t="s">
        <x:v>503</x:v>
      </x:c>
      <x:c r="I72" s="2385">
        <x:v>1</x:v>
      </x:c>
      <x:c r="J72" s="2590" t="s">
        <x:v>115</x:v>
      </x:c>
      <x:c r="K72" s="2590" t="s">
        <x:v>160</x:v>
      </x:c>
      <x:c r="L72" s="2590" t="s">
        <x:v>119</x:v>
      </x:c>
      <x:c r="M72" s="2581" t="s">
        <x:v>536</x:v>
      </x:c>
      <x:c r="N72" s="1155"/>
    </x:row>
    <x:row r="73" ht="54.75" customHeight="1">
      <x:c r="A73" s="2796">
        <x:v>45566</x:v>
      </x:c>
      <x:c r="B73" s="2797">
        <x:v>45657</x:v>
      </x:c>
      <x:c r="C73" s="2590" t="s">
        <x:v>534</x:v>
      </x:c>
      <x:c r="D73" s="2590" t="s">
        <x:v>174</x:v>
      </x:c>
      <x:c r="E73" s="2590" t="s">
        <x:v>535</x:v>
      </x:c>
      <x:c r="F73" s="2590" t="s">
        <x:v>404</x:v>
      </x:c>
      <x:c r="G73" s="2590" t="s">
        <x:v>543</x:v>
      </x:c>
      <x:c r="H73" s="2591" t="s">
        <x:v>503</x:v>
      </x:c>
      <x:c r="I73" s="2385">
        <x:v>2</x:v>
      </x:c>
      <x:c r="J73" s="2590" t="s">
        <x:v>115</x:v>
      </x:c>
      <x:c r="K73" s="2590" t="s">
        <x:v>172</x:v>
      </x:c>
      <x:c r="L73" s="2590" t="s">
        <x:v>119</x:v>
      </x:c>
      <x:c r="M73" s="2581" t="s">
        <x:v>536</x:v>
      </x:c>
      <x:c r="N73" s="1155"/>
    </x:row>
    <x:row r="74" ht="54.75" customHeight="1">
      <x:c r="A74" s="2796">
        <x:v>45658</x:v>
      </x:c>
      <x:c r="B74" s="2797">
        <x:v>45747</x:v>
      </x:c>
      <x:c r="C74" s="2590" t="s">
        <x:v>534</x:v>
      </x:c>
      <x:c r="D74" s="2590" t="s">
        <x:v>179</x:v>
      </x:c>
      <x:c r="E74" s="2590" t="s">
        <x:v>535</x:v>
      </x:c>
      <x:c r="F74" s="2590" t="s">
        <x:v>404</x:v>
      </x:c>
      <x:c r="G74" s="2590" t="s">
        <x:v>543</x:v>
      </x:c>
      <x:c r="H74" s="2591" t="s">
        <x:v>503</x:v>
      </x:c>
      <x:c r="I74" s="2385">
        <x:v>4</x:v>
      </x:c>
      <x:c r="J74" s="2590" t="s">
        <x:v>123</x:v>
      </x:c>
      <x:c r="K74" s="2590" t="s">
        <x:v>177</x:v>
      </x:c>
      <x:c r="L74" s="2590" t="s">
        <x:v>126</x:v>
      </x:c>
      <x:c r="M74" s="2581" t="s">
        <x:v>537</x:v>
      </x:c>
      <x:c r="N74" s="1155"/>
    </x:row>
    <x:row r="75" ht="54.75" customHeight="1">
      <x:c r="A75" s="2796">
        <x:v>45748</x:v>
      </x:c>
      <x:c r="B75" s="2797">
        <x:v>45838</x:v>
      </x:c>
      <x:c r="C75" s="2590" t="s">
        <x:v>534</x:v>
      </x:c>
      <x:c r="D75" s="2590" t="s">
        <x:v>185</x:v>
      </x:c>
      <x:c r="E75" s="2590" t="s">
        <x:v>535</x:v>
      </x:c>
      <x:c r="F75" s="2590" t="s">
        <x:v>404</x:v>
      </x:c>
      <x:c r="G75" s="2590" t="s">
        <x:v>543</x:v>
      </x:c>
      <x:c r="H75" s="2591" t="s">
        <x:v>503</x:v>
      </x:c>
      <x:c r="I75" s="2385">
        <x:v>1</x:v>
      </x:c>
      <x:c r="J75" s="2590" t="s">
        <x:v>123</x:v>
      </x:c>
      <x:c r="K75" s="2590" t="s">
        <x:v>183</x:v>
      </x:c>
      <x:c r="L75" s="2590" t="s">
        <x:v>126</x:v>
      </x:c>
      <x:c r="M75" s="2581" t="s">
        <x:v>537</x:v>
      </x:c>
      <x:c r="N75" s="1155"/>
    </x:row>
    <x:row r="76" ht="54.75" customHeight="1">
      <x:c r="A76" s="2796">
        <x:v>45962</x:v>
      </x:c>
      <x:c r="B76" s="2797">
        <x:v>46022</x:v>
      </x:c>
      <x:c r="C76" s="2590" t="s">
        <x:v>538</x:v>
      </x:c>
      <x:c r="D76" s="2590" t="s">
        <x:v>190</x:v>
      </x:c>
      <x:c r="E76" s="2590" t="s">
        <x:v>95</x:v>
      </x:c>
      <x:c r="F76" s="2590" t="s">
        <x:v>404</x:v>
      </x:c>
      <x:c r="G76" s="2590" t="s">
        <x:v>543</x:v>
      </x:c>
      <x:c r="H76" s="2591" t="s">
        <x:v>503</x:v>
      </x:c>
      <x:c r="I76" s="2385">
        <x:v>0</x:v>
      </x:c>
      <x:c r="J76" s="2590" t="s">
        <x:v>137</x:v>
      </x:c>
      <x:c r="K76" s="2590" t="s">
        <x:v>188</x:v>
      </x:c>
      <x:c r="L76" s="2590" t="s">
        <x:v>140</x:v>
      </x:c>
      <x:c r="M76" s="2581" t="s">
        <x:v>539</x:v>
      </x:c>
      <x:c r="N76" s="1155"/>
    </x:row>
    <x:row r="77" ht="54.75" customHeight="1">
      <x:c r="A77" s="2796">
        <x:v>45474</x:v>
      </x:c>
      <x:c r="B77" s="2797">
        <x:v>45565</x:v>
      </x:c>
      <x:c r="C77" s="2590" t="s">
        <x:v>534</x:v>
      </x:c>
      <x:c r="D77" s="2590" t="s">
        <x:v>164</x:v>
      </x:c>
      <x:c r="E77" s="2590" t="s">
        <x:v>535</x:v>
      </x:c>
      <x:c r="F77" s="2590" t="s">
        <x:v>544</x:v>
      </x:c>
      <x:c r="G77" s="2590" t="s">
        <x:v>545</x:v>
      </x:c>
      <x:c r="H77" s="2591" t="s">
        <x:v>512</x:v>
      </x:c>
      <x:c r="I77" s="2385">
        <x:v>30</x:v>
      </x:c>
      <x:c r="J77" s="2590" t="s">
        <x:v>546</x:v>
      </x:c>
      <x:c r="K77" s="2590" t="s">
        <x:v>160</x:v>
      </x:c>
      <x:c r="L77" s="2590" t="s">
        <x:v>133</x:v>
      </x:c>
      <x:c r="M77" s="2581" t="s">
        <x:v>547</x:v>
      </x:c>
      <x:c r="N77" s="1155"/>
    </x:row>
    <x:row r="78" ht="54.75" customHeight="1">
      <x:c r="A78" s="2796">
        <x:v>45566</x:v>
      </x:c>
      <x:c r="B78" s="2797">
        <x:v>45657</x:v>
      </x:c>
      <x:c r="C78" s="2590" t="s">
        <x:v>534</x:v>
      </x:c>
      <x:c r="D78" s="2590" t="s">
        <x:v>174</x:v>
      </x:c>
      <x:c r="E78" s="2590" t="s">
        <x:v>535</x:v>
      </x:c>
      <x:c r="F78" s="2590" t="s">
        <x:v>544</x:v>
      </x:c>
      <x:c r="G78" s="2590" t="s">
        <x:v>545</x:v>
      </x:c>
      <x:c r="H78" s="2591" t="s">
        <x:v>512</x:v>
      </x:c>
      <x:c r="I78" s="2385">
        <x:v>33</x:v>
      </x:c>
      <x:c r="J78" s="2590" t="s">
        <x:v>546</x:v>
      </x:c>
      <x:c r="K78" s="2590" t="s">
        <x:v>172</x:v>
      </x:c>
      <x:c r="L78" s="2590" t="s">
        <x:v>133</x:v>
      </x:c>
      <x:c r="M78" s="2581" t="s">
        <x:v>547</x:v>
      </x:c>
      <x:c r="N78" s="1155"/>
    </x:row>
    <x:row r="79" ht="54.75" customHeight="1">
      <x:c r="A79" s="2796">
        <x:v>45658</x:v>
      </x:c>
      <x:c r="B79" s="2797">
        <x:v>45747</x:v>
      </x:c>
      <x:c r="C79" s="2590" t="s">
        <x:v>534</x:v>
      </x:c>
      <x:c r="D79" s="2590" t="s">
        <x:v>179</x:v>
      </x:c>
      <x:c r="E79" s="2590" t="s">
        <x:v>535</x:v>
      </x:c>
      <x:c r="F79" s="2590" t="s">
        <x:v>544</x:v>
      </x:c>
      <x:c r="G79" s="2590" t="s">
        <x:v>545</x:v>
      </x:c>
      <x:c r="H79" s="2591" t="s">
        <x:v>512</x:v>
      </x:c>
      <x:c r="I79" s="2385">
        <x:v>19</x:v>
      </x:c>
      <x:c r="J79" s="2590" t="s">
        <x:v>546</x:v>
      </x:c>
      <x:c r="K79" s="2590" t="s">
        <x:v>177</x:v>
      </x:c>
      <x:c r="L79" s="2590" t="s">
        <x:v>133</x:v>
      </x:c>
      <x:c r="M79" s="2581" t="s">
        <x:v>547</x:v>
      </x:c>
      <x:c r="N79" s="1155"/>
    </x:row>
    <x:row r="80" ht="54.75" customHeight="1">
      <x:c r="A80" s="2796">
        <x:v>45748</x:v>
      </x:c>
      <x:c r="B80" s="2797">
        <x:v>45838</x:v>
      </x:c>
      <x:c r="C80" s="2590" t="s">
        <x:v>534</x:v>
      </x:c>
      <x:c r="D80" s="2590" t="s">
        <x:v>185</x:v>
      </x:c>
      <x:c r="E80" s="2590" t="s">
        <x:v>535</x:v>
      </x:c>
      <x:c r="F80" s="2590" t="s">
        <x:v>544</x:v>
      </x:c>
      <x:c r="G80" s="2590" t="s">
        <x:v>545</x:v>
      </x:c>
      <x:c r="H80" s="2591" t="s">
        <x:v>512</x:v>
      </x:c>
      <x:c r="I80" s="2385">
        <x:v>16</x:v>
      </x:c>
      <x:c r="J80" s="2590" t="s">
        <x:v>546</x:v>
      </x:c>
      <x:c r="K80" s="2590" t="s">
        <x:v>183</x:v>
      </x:c>
      <x:c r="L80" s="2590" t="s">
        <x:v>133</x:v>
      </x:c>
      <x:c r="M80" s="2581" t="s">
        <x:v>547</x:v>
      </x:c>
      <x:c r="N80" s="1155"/>
    </x:row>
    <x:row r="81" ht="54.75" customHeight="1">
      <x:c r="A81" s="2796">
        <x:v>45962</x:v>
      </x:c>
      <x:c r="B81" s="2797">
        <x:v>46022</x:v>
      </x:c>
      <x:c r="C81" s="2590" t="s">
        <x:v>538</x:v>
      </x:c>
      <x:c r="D81" s="2590" t="s">
        <x:v>190</x:v>
      </x:c>
      <x:c r="E81" s="2590" t="s">
        <x:v>95</x:v>
      </x:c>
      <x:c r="F81" s="2590" t="s">
        <x:v>544</x:v>
      </x:c>
      <x:c r="G81" s="2590" t="s">
        <x:v>545</x:v>
      </x:c>
      <x:c r="H81" s="2591" t="s">
        <x:v>512</x:v>
      </x:c>
      <x:c r="I81" s="2385">
        <x:v>9</x:v>
      </x:c>
      <x:c r="J81" s="2590" t="s">
        <x:v>137</x:v>
      </x:c>
      <x:c r="K81" s="2590" t="s">
        <x:v>188</x:v>
      </x:c>
      <x:c r="L81" s="2590" t="s">
        <x:v>140</x:v>
      </x:c>
      <x:c r="M81" s="2581" t="s">
        <x:v>548</x:v>
      </x:c>
      <x:c r="N81" s="1155"/>
    </x:row>
    <x:row r="82" ht="54.75" customHeight="1">
      <x:c r="A82" s="2796">
        <x:v>45474</x:v>
      </x:c>
      <x:c r="B82" s="2797">
        <x:v>45565</x:v>
      </x:c>
      <x:c r="C82" s="2590" t="s">
        <x:v>534</x:v>
      </x:c>
      <x:c r="D82" s="2590" t="s">
        <x:v>164</x:v>
      </x:c>
      <x:c r="E82" s="2590" t="s">
        <x:v>535</x:v>
      </x:c>
      <x:c r="F82" s="2590" t="s">
        <x:v>544</x:v>
      </x:c>
      <x:c r="G82" s="2590" t="s">
        <x:v>545</x:v>
      </x:c>
      <x:c r="H82" s="2591" t="s">
        <x:v>549</x:v>
      </x:c>
      <x:c r="I82" s="2385">
        <x:v>27</x:v>
      </x:c>
      <x:c r="J82" s="2590" t="s">
        <x:v>546</x:v>
      </x:c>
      <x:c r="K82" s="2590" t="s">
        <x:v>160</x:v>
      </x:c>
      <x:c r="L82" s="2590" t="s">
        <x:v>133</x:v>
      </x:c>
      <x:c r="M82" s="2581" t="s">
        <x:v>547</x:v>
      </x:c>
      <x:c r="N82" s="1155"/>
    </x:row>
    <x:row r="83" ht="54.75" customHeight="1">
      <x:c r="A83" s="2796">
        <x:v>45566</x:v>
      </x:c>
      <x:c r="B83" s="2797">
        <x:v>45657</x:v>
      </x:c>
      <x:c r="C83" s="2590" t="s">
        <x:v>534</x:v>
      </x:c>
      <x:c r="D83" s="2590" t="s">
        <x:v>174</x:v>
      </x:c>
      <x:c r="E83" s="2590" t="s">
        <x:v>535</x:v>
      </x:c>
      <x:c r="F83" s="2590" t="s">
        <x:v>544</x:v>
      </x:c>
      <x:c r="G83" s="2590" t="s">
        <x:v>545</x:v>
      </x:c>
      <x:c r="H83" s="2591" t="s">
        <x:v>549</x:v>
      </x:c>
      <x:c r="I83" s="2385">
        <x:v>20</x:v>
      </x:c>
      <x:c r="J83" s="2590" t="s">
        <x:v>546</x:v>
      </x:c>
      <x:c r="K83" s="2590" t="s">
        <x:v>172</x:v>
      </x:c>
      <x:c r="L83" s="2590" t="s">
        <x:v>133</x:v>
      </x:c>
      <x:c r="M83" s="2581" t="s">
        <x:v>547</x:v>
      </x:c>
      <x:c r="N83" s="1155"/>
    </x:row>
    <x:row r="84" ht="54.75" customHeight="1">
      <x:c r="A84" s="2796">
        <x:v>45658</x:v>
      </x:c>
      <x:c r="B84" s="2797">
        <x:v>45747</x:v>
      </x:c>
      <x:c r="C84" s="2590" t="s">
        <x:v>534</x:v>
      </x:c>
      <x:c r="D84" s="2590" t="s">
        <x:v>179</x:v>
      </x:c>
      <x:c r="E84" s="2590" t="s">
        <x:v>535</x:v>
      </x:c>
      <x:c r="F84" s="2590" t="s">
        <x:v>544</x:v>
      </x:c>
      <x:c r="G84" s="2590" t="s">
        <x:v>545</x:v>
      </x:c>
      <x:c r="H84" s="2591" t="s">
        <x:v>549</x:v>
      </x:c>
      <x:c r="I84" s="2385">
        <x:v>24</x:v>
      </x:c>
      <x:c r="J84" s="2590" t="s">
        <x:v>546</x:v>
      </x:c>
      <x:c r="K84" s="2590" t="s">
        <x:v>177</x:v>
      </x:c>
      <x:c r="L84" s="2590" t="s">
        <x:v>133</x:v>
      </x:c>
      <x:c r="M84" s="2581" t="s">
        <x:v>547</x:v>
      </x:c>
      <x:c r="N84" s="1155"/>
    </x:row>
    <x:row r="85" ht="54.75" customHeight="1">
      <x:c r="A85" s="2796">
        <x:v>45748</x:v>
      </x:c>
      <x:c r="B85" s="2797">
        <x:v>45838</x:v>
      </x:c>
      <x:c r="C85" s="2590" t="s">
        <x:v>534</x:v>
      </x:c>
      <x:c r="D85" s="2590" t="s">
        <x:v>185</x:v>
      </x:c>
      <x:c r="E85" s="2590" t="s">
        <x:v>535</x:v>
      </x:c>
      <x:c r="F85" s="2590" t="s">
        <x:v>544</x:v>
      </x:c>
      <x:c r="G85" s="2590" t="s">
        <x:v>545</x:v>
      </x:c>
      <x:c r="H85" s="2591" t="s">
        <x:v>549</x:v>
      </x:c>
      <x:c r="I85" s="2385">
        <x:v>30</x:v>
      </x:c>
      <x:c r="J85" s="2590" t="s">
        <x:v>546</x:v>
      </x:c>
      <x:c r="K85" s="2590" t="s">
        <x:v>183</x:v>
      </x:c>
      <x:c r="L85" s="2590" t="s">
        <x:v>133</x:v>
      </x:c>
      <x:c r="M85" s="2581" t="s">
        <x:v>547</x:v>
      </x:c>
      <x:c r="N85" s="1155"/>
    </x:row>
    <x:row r="86" ht="54.75" customHeight="1">
      <x:c r="A86" s="2796">
        <x:v>45962</x:v>
      </x:c>
      <x:c r="B86" s="2797">
        <x:v>46022</x:v>
      </x:c>
      <x:c r="C86" s="2590" t="s">
        <x:v>538</x:v>
      </x:c>
      <x:c r="D86" s="2590" t="s">
        <x:v>190</x:v>
      </x:c>
      <x:c r="E86" s="2590" t="s">
        <x:v>95</x:v>
      </x:c>
      <x:c r="F86" s="2590" t="s">
        <x:v>544</x:v>
      </x:c>
      <x:c r="G86" s="2590" t="s">
        <x:v>545</x:v>
      </x:c>
      <x:c r="H86" s="2591" t="s">
        <x:v>549</x:v>
      </x:c>
      <x:c r="I86" s="2385">
        <x:v>5</x:v>
      </x:c>
      <x:c r="J86" s="2590" t="s">
        <x:v>137</x:v>
      </x:c>
      <x:c r="K86" s="2590" t="s">
        <x:v>188</x:v>
      </x:c>
      <x:c r="L86" s="2590" t="s">
        <x:v>140</x:v>
      </x:c>
      <x:c r="M86" s="2581" t="s">
        <x:v>548</x:v>
      </x:c>
      <x:c r="N86" s="1155"/>
    </x:row>
    <x:row r="87" ht="54.75" customHeight="1">
      <x:c r="A87" s="2796">
        <x:v>45474</x:v>
      </x:c>
      <x:c r="B87" s="2797">
        <x:v>45565</x:v>
      </x:c>
      <x:c r="C87" s="2590" t="s">
        <x:v>534</x:v>
      </x:c>
      <x:c r="D87" s="2590" t="s">
        <x:v>164</x:v>
      </x:c>
      <x:c r="E87" s="2590" t="s">
        <x:v>535</x:v>
      </x:c>
      <x:c r="F87" s="2590" t="s">
        <x:v>550</x:v>
      </x:c>
      <x:c r="G87" s="2590" t="s">
        <x:v>545</x:v>
      </x:c>
      <x:c r="H87" s="2591" t="s">
        <x:v>517</x:v>
      </x:c>
      <x:c r="I87" s="2385">
        <x:v>12</x:v>
      </x:c>
      <x:c r="J87" s="2590" t="s">
        <x:v>546</x:v>
      </x:c>
      <x:c r="K87" s="2590" t="s">
        <x:v>160</x:v>
      </x:c>
      <x:c r="L87" s="2590" t="s">
        <x:v>133</x:v>
      </x:c>
      <x:c r="M87" s="2581" t="s">
        <x:v>551</x:v>
      </x:c>
      <x:c r="N87" s="1155"/>
    </x:row>
    <x:row r="88" ht="54.75" customHeight="1">
      <x:c r="A88" s="2796">
        <x:v>45566</x:v>
      </x:c>
      <x:c r="B88" s="2797">
        <x:v>45657</x:v>
      </x:c>
      <x:c r="C88" s="2590" t="s">
        <x:v>534</x:v>
      </x:c>
      <x:c r="D88" s="2590" t="s">
        <x:v>174</x:v>
      </x:c>
      <x:c r="E88" s="2590" t="s">
        <x:v>535</x:v>
      </x:c>
      <x:c r="F88" s="2590" t="s">
        <x:v>550</x:v>
      </x:c>
      <x:c r="G88" s="2590" t="s">
        <x:v>545</x:v>
      </x:c>
      <x:c r="H88" s="2591" t="s">
        <x:v>517</x:v>
      </x:c>
      <x:c r="I88" s="2385">
        <x:v>29</x:v>
      </x:c>
      <x:c r="J88" s="2590" t="s">
        <x:v>546</x:v>
      </x:c>
      <x:c r="K88" s="2590" t="s">
        <x:v>172</x:v>
      </x:c>
      <x:c r="L88" s="2590" t="s">
        <x:v>133</x:v>
      </x:c>
      <x:c r="M88" s="2581" t="s">
        <x:v>551</x:v>
      </x:c>
      <x:c r="N88" s="1155"/>
    </x:row>
    <x:row r="89" ht="54.75" customHeight="1">
      <x:c r="A89" s="2796">
        <x:v>45658</x:v>
      </x:c>
      <x:c r="B89" s="2797">
        <x:v>45747</x:v>
      </x:c>
      <x:c r="C89" s="2590" t="s">
        <x:v>534</x:v>
      </x:c>
      <x:c r="D89" s="2590" t="s">
        <x:v>179</x:v>
      </x:c>
      <x:c r="E89" s="2590" t="s">
        <x:v>535</x:v>
      </x:c>
      <x:c r="F89" s="2590" t="s">
        <x:v>550</x:v>
      </x:c>
      <x:c r="G89" s="2590" t="s">
        <x:v>545</x:v>
      </x:c>
      <x:c r="H89" s="2591" t="s">
        <x:v>517</x:v>
      </x:c>
      <x:c r="I89" s="2385">
        <x:v>17</x:v>
      </x:c>
      <x:c r="J89" s="2590" t="s">
        <x:v>546</x:v>
      </x:c>
      <x:c r="K89" s="2590" t="s">
        <x:v>177</x:v>
      </x:c>
      <x:c r="L89" s="2590" t="s">
        <x:v>133</x:v>
      </x:c>
      <x:c r="M89" s="2581" t="s">
        <x:v>551</x:v>
      </x:c>
      <x:c r="N89" s="1155"/>
    </x:row>
    <x:row r="90" ht="54.75" customHeight="1">
      <x:c r="A90" s="2796">
        <x:v>45748</x:v>
      </x:c>
      <x:c r="B90" s="2797">
        <x:v>45838</x:v>
      </x:c>
      <x:c r="C90" s="2590" t="s">
        <x:v>534</x:v>
      </x:c>
      <x:c r="D90" s="2590" t="s">
        <x:v>185</x:v>
      </x:c>
      <x:c r="E90" s="2590" t="s">
        <x:v>535</x:v>
      </x:c>
      <x:c r="F90" s="2590" t="s">
        <x:v>550</x:v>
      </x:c>
      <x:c r="G90" s="2590" t="s">
        <x:v>545</x:v>
      </x:c>
      <x:c r="H90" s="2591" t="s">
        <x:v>517</x:v>
      </x:c>
      <x:c r="I90" s="2385">
        <x:v>13</x:v>
      </x:c>
      <x:c r="J90" s="2590" t="s">
        <x:v>546</x:v>
      </x:c>
      <x:c r="K90" s="2590" t="s">
        <x:v>183</x:v>
      </x:c>
      <x:c r="L90" s="2590" t="s">
        <x:v>133</x:v>
      </x:c>
      <x:c r="M90" s="2581" t="s">
        <x:v>551</x:v>
      </x:c>
      <x:c r="N90" s="1155"/>
    </x:row>
    <x:row r="91" ht="54.75" customHeight="1">
      <x:c r="A91" s="2796">
        <x:v>45962</x:v>
      </x:c>
      <x:c r="B91" s="2797">
        <x:v>46022</x:v>
      </x:c>
      <x:c r="C91" s="2590" t="s">
        <x:v>538</x:v>
      </x:c>
      <x:c r="D91" s="2590" t="s">
        <x:v>190</x:v>
      </x:c>
      <x:c r="E91" s="2590" t="s">
        <x:v>95</x:v>
      </x:c>
      <x:c r="F91" s="2590" t="s">
        <x:v>550</x:v>
      </x:c>
      <x:c r="G91" s="2590" t="s">
        <x:v>545</x:v>
      </x:c>
      <x:c r="H91" s="2591" t="s">
        <x:v>517</x:v>
      </x:c>
      <x:c r="I91" s="2385">
        <x:v>4</x:v>
      </x:c>
      <x:c r="J91" s="2590" t="s">
        <x:v>137</x:v>
      </x:c>
      <x:c r="K91" s="2590" t="s">
        <x:v>188</x:v>
      </x:c>
      <x:c r="L91" s="2590" t="s">
        <x:v>140</x:v>
      </x:c>
      <x:c r="M91" s="2581" t="s">
        <x:v>552</x:v>
      </x:c>
      <x:c r="N91" s="1155"/>
    </x:row>
    <x:row r="92" ht="54.75" customHeight="1">
      <x:c r="A92" s="2796">
        <x:v>45474</x:v>
      </x:c>
      <x:c r="B92" s="2797">
        <x:v>45565</x:v>
      </x:c>
      <x:c r="C92" s="2590" t="s">
        <x:v>534</x:v>
      </x:c>
      <x:c r="D92" s="2590" t="s">
        <x:v>164</x:v>
      </x:c>
      <x:c r="E92" s="2590" t="s">
        <x:v>535</x:v>
      </x:c>
      <x:c r="F92" s="2590" t="s">
        <x:v>550</x:v>
      </x:c>
      <x:c r="G92" s="2590" t="s">
        <x:v>545</x:v>
      </x:c>
      <x:c r="H92" s="2591" t="s">
        <x:v>518</x:v>
      </x:c>
      <x:c r="I92" s="2385">
        <x:v>17</x:v>
      </x:c>
      <x:c r="J92" s="2590" t="s">
        <x:v>546</x:v>
      </x:c>
      <x:c r="K92" s="2590" t="s">
        <x:v>160</x:v>
      </x:c>
      <x:c r="L92" s="2590" t="s">
        <x:v>133</x:v>
      </x:c>
      <x:c r="M92" s="2581" t="s">
        <x:v>551</x:v>
      </x:c>
      <x:c r="N92" s="1155"/>
    </x:row>
    <x:row r="93" ht="54.75" customHeight="1">
      <x:c r="A93" s="2796">
        <x:v>45566</x:v>
      </x:c>
      <x:c r="B93" s="2797">
        <x:v>45657</x:v>
      </x:c>
      <x:c r="C93" s="2590" t="s">
        <x:v>534</x:v>
      </x:c>
      <x:c r="D93" s="2590" t="s">
        <x:v>174</x:v>
      </x:c>
      <x:c r="E93" s="2590" t="s">
        <x:v>535</x:v>
      </x:c>
      <x:c r="F93" s="2590" t="s">
        <x:v>550</x:v>
      </x:c>
      <x:c r="G93" s="2590" t="s">
        <x:v>545</x:v>
      </x:c>
      <x:c r="H93" s="2591" t="s">
        <x:v>518</x:v>
      </x:c>
      <x:c r="I93" s="2385">
        <x:v>13</x:v>
      </x:c>
      <x:c r="J93" s="2590" t="s">
        <x:v>546</x:v>
      </x:c>
      <x:c r="K93" s="2590" t="s">
        <x:v>172</x:v>
      </x:c>
      <x:c r="L93" s="2590" t="s">
        <x:v>133</x:v>
      </x:c>
      <x:c r="M93" s="2581" t="s">
        <x:v>551</x:v>
      </x:c>
      <x:c r="N93" s="1155"/>
    </x:row>
    <x:row r="94" ht="54.75" customHeight="1">
      <x:c r="A94" s="2796">
        <x:v>45658</x:v>
      </x:c>
      <x:c r="B94" s="2797">
        <x:v>45747</x:v>
      </x:c>
      <x:c r="C94" s="2590" t="s">
        <x:v>534</x:v>
      </x:c>
      <x:c r="D94" s="2590" t="s">
        <x:v>179</x:v>
      </x:c>
      <x:c r="E94" s="2590" t="s">
        <x:v>535</x:v>
      </x:c>
      <x:c r="F94" s="2590" t="s">
        <x:v>550</x:v>
      </x:c>
      <x:c r="G94" s="2590" t="s">
        <x:v>545</x:v>
      </x:c>
      <x:c r="H94" s="2591" t="s">
        <x:v>518</x:v>
      </x:c>
      <x:c r="I94" s="2385">
        <x:v>22</x:v>
      </x:c>
      <x:c r="J94" s="2590" t="s">
        <x:v>546</x:v>
      </x:c>
      <x:c r="K94" s="2590" t="s">
        <x:v>177</x:v>
      </x:c>
      <x:c r="L94" s="2590" t="s">
        <x:v>133</x:v>
      </x:c>
      <x:c r="M94" s="2581" t="s">
        <x:v>551</x:v>
      </x:c>
      <x:c r="N94" s="1155"/>
    </x:row>
    <x:row r="95" ht="54.75" customHeight="1">
      <x:c r="A95" s="2796">
        <x:v>45748</x:v>
      </x:c>
      <x:c r="B95" s="2797">
        <x:v>45838</x:v>
      </x:c>
      <x:c r="C95" s="2590" t="s">
        <x:v>534</x:v>
      </x:c>
      <x:c r="D95" s="2590" t="s">
        <x:v>185</x:v>
      </x:c>
      <x:c r="E95" s="2590" t="s">
        <x:v>535</x:v>
      </x:c>
      <x:c r="F95" s="2590" t="s">
        <x:v>550</x:v>
      </x:c>
      <x:c r="G95" s="2590" t="s">
        <x:v>545</x:v>
      </x:c>
      <x:c r="H95" s="2591" t="s">
        <x:v>518</x:v>
      </x:c>
      <x:c r="I95" s="2385">
        <x:v>21</x:v>
      </x:c>
      <x:c r="J95" s="2590" t="s">
        <x:v>546</x:v>
      </x:c>
      <x:c r="K95" s="2590" t="s">
        <x:v>183</x:v>
      </x:c>
      <x:c r="L95" s="2590" t="s">
        <x:v>133</x:v>
      </x:c>
      <x:c r="M95" s="2581" t="s">
        <x:v>551</x:v>
      </x:c>
      <x:c r="N95" s="1155"/>
    </x:row>
    <x:row r="96" ht="54.75" customHeight="1">
      <x:c r="A96" s="2796">
        <x:v>45962</x:v>
      </x:c>
      <x:c r="B96" s="2797">
        <x:v>46022</x:v>
      </x:c>
      <x:c r="C96" s="2590" t="s">
        <x:v>538</x:v>
      </x:c>
      <x:c r="D96" s="2590" t="s">
        <x:v>190</x:v>
      </x:c>
      <x:c r="E96" s="2590" t="s">
        <x:v>95</x:v>
      </x:c>
      <x:c r="F96" s="2590" t="s">
        <x:v>550</x:v>
      </x:c>
      <x:c r="G96" s="2590" t="s">
        <x:v>545</x:v>
      </x:c>
      <x:c r="H96" s="2591" t="s">
        <x:v>518</x:v>
      </x:c>
      <x:c r="I96" s="2385">
        <x:v>9</x:v>
      </x:c>
      <x:c r="J96" s="2590" t="s">
        <x:v>137</x:v>
      </x:c>
      <x:c r="K96" s="2590" t="s">
        <x:v>188</x:v>
      </x:c>
      <x:c r="L96" s="2590" t="s">
        <x:v>140</x:v>
      </x:c>
      <x:c r="M96" s="2581" t="s">
        <x:v>552</x:v>
      </x:c>
      <x:c r="N96" s="1155"/>
    </x:row>
    <x:row r="97" ht="54.75" customHeight="1">
      <x:c r="A97" s="2798"/>
      <x:c r="B97" s="2799"/>
      <x:c r="C97" s="2793"/>
      <x:c r="D97" s="2793"/>
      <x:c r="E97" s="2793"/>
      <x:c r="F97" s="2794"/>
      <x:c r="G97" s="2793"/>
      <x:c r="H97" s="2794"/>
      <x:c r="I97" s="2793"/>
      <x:c r="J97" s="2793"/>
      <x:c r="K97" s="2793"/>
      <x:c r="L97" s="2793"/>
      <x:c r="M97" s="2795"/>
      <x:c r="N97" s="1451"/>
    </x:row>
  </x:sheetData>
  <x:dataValidations count="1">
    <x:dataValidation type="list" allowBlank="1" showInputMessage="1" showErrorMessage="1" sqref="G2:G96">
      <x:formula1>"Internal,External,Not applicable"</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8.85546875" defaultRowHeight="15"/>
  <x:cols>
    <x:col min="1" max="1" width="59" style="99" customWidth="1"/>
    <x:col min="2" max="19" width="8.85546875" style="99" customWidth="1"/>
    <x:col min="20" max="16384" width="8.85546875" style="99" customWidth="0"/>
  </x:cols>
  <x:sheetData>
    <x:row r="1" ht="34" customHeight="1">
      <x:c r="A1" s="2786" t="s">
        <x:v>553</x:v>
      </x:c>
      <x:c r="B1" s="2781"/>
      <x:c r="C1" s="2781"/>
      <x:c r="D1" s="2781"/>
      <x:c r="E1" s="2781"/>
      <x:c r="F1" s="2781"/>
      <x:c r="G1" s="2787" t="s">
        <x:v>554</x:v>
      </x:c>
      <x:c r="H1" s="2788"/>
      <x:c r="I1" s="2788"/>
      <x:c r="J1" s="2788"/>
      <x:c r="K1" s="2788"/>
      <x:c r="L1" s="2788"/>
      <x:c r="M1" s="2788"/>
      <x:c r="N1" s="2788"/>
      <x:c r="O1" s="2788"/>
      <x:c r="P1" s="2788"/>
      <x:c r="Q1" s="2788"/>
      <x:c r="R1" s="2789"/>
    </x:row>
    <x:row r="2" ht="16.5" customHeight="1">
      <x:c r="A2" s="930" t="s">
        <x:v>555</x:v>
      </x:c>
      <x:c r="B2" s="1210"/>
      <x:c r="C2" s="1210"/>
      <x:c r="D2" s="1210"/>
      <x:c r="E2" s="1210"/>
      <x:c r="F2" s="1210"/>
      <x:c r="G2" s="1210"/>
      <x:c r="H2" s="918"/>
      <x:c r="I2" s="918"/>
      <x:c r="J2" s="918"/>
      <x:c r="K2" s="918"/>
      <x:c r="L2" s="918"/>
      <x:c r="M2" s="918"/>
      <x:c r="N2" s="918"/>
      <x:c r="O2" s="918"/>
      <x:c r="P2" s="918"/>
      <x:c r="Q2" s="918"/>
      <x:c r="R2" s="918"/>
    </x:row>
    <x:row r="3" ht="89.25" customHeight="1">
      <x:c r="A3" s="1156" t="s">
        <x:v>556</x:v>
      </x:c>
      <x:c r="B3" s="1157" t="s">
        <x:v>557</x:v>
      </x:c>
      <x:c r="C3" s="1158"/>
      <x:c r="D3" s="1158"/>
      <x:c r="E3" s="1154"/>
      <x:c r="F3" s="1154"/>
      <x:c r="G3" s="1154"/>
      <x:c r="H3" s="861"/>
      <x:c r="I3" s="861"/>
      <x:c r="J3" s="861"/>
      <x:c r="K3" s="861"/>
      <x:c r="L3" s="861"/>
      <x:c r="M3" s="861"/>
      <x:c r="N3" s="861"/>
      <x:c r="O3" s="861"/>
      <x:c r="P3" s="861"/>
      <x:c r="Q3" s="861"/>
      <x:c r="R3" s="1155"/>
    </x:row>
    <x:row r="4" ht="84" customHeight="1">
      <x:c r="A4" s="1159"/>
      <x:c r="B4" s="1157" t="s">
        <x:v>558</x:v>
      </x:c>
      <x:c r="C4" s="1157" t="s">
        <x:v>559</x:v>
      </x:c>
      <x:c r="D4" s="1157" t="s">
        <x:v>560</x:v>
      </x:c>
      <x:c r="E4" s="1154"/>
      <x:c r="F4" s="1157" t="s">
        <x:v>561</x:v>
      </x:c>
      <x:c r="G4" s="1157" t="s">
        <x:v>562</x:v>
      </x:c>
      <x:c r="H4" s="861"/>
      <x:c r="I4" s="861"/>
      <x:c r="J4" s="861"/>
      <x:c r="K4" s="861"/>
      <x:c r="L4" s="861"/>
      <x:c r="M4" s="861"/>
      <x:c r="N4" s="861"/>
      <x:c r="O4" s="861"/>
      <x:c r="P4" s="861"/>
      <x:c r="Q4" s="861"/>
      <x:c r="R4" s="1155"/>
    </x:row>
    <x:row r="5" ht="16.5" customHeight="1">
      <x:c r="A5" s="1160" t="s">
        <x:v>373</x:v>
      </x:c>
      <x:c r="B5" s="1161">
        <x:v>929</x:v>
      </x:c>
      <x:c r="C5" s="1161">
        <x:v>3730</x:v>
      </x:c>
      <x:c r="D5" s="1161">
        <x:v>4659</x:v>
      </x:c>
      <x:c r="E5" s="1154"/>
      <x:c r="F5" s="1162">
        <x:v>0.199399012663662</x:v>
      </x:c>
      <x:c r="G5" s="1162">
        <x:v>0.800600987336338</x:v>
      </x:c>
      <x:c r="H5" s="861"/>
      <x:c r="I5" s="861"/>
      <x:c r="J5" s="861"/>
      <x:c r="K5" s="861"/>
      <x:c r="L5" s="861"/>
      <x:c r="M5" s="861"/>
      <x:c r="N5" s="861"/>
      <x:c r="O5" s="861"/>
      <x:c r="P5" s="861"/>
      <x:c r="Q5" s="861"/>
      <x:c r="R5" s="1155"/>
    </x:row>
    <x:row r="6" ht="16.5" customHeight="1">
      <x:c r="A6" s="1160" t="s">
        <x:v>563</x:v>
      </x:c>
      <x:c r="B6" s="1161">
        <x:v>924</x:v>
      </x:c>
      <x:c r="C6" s="1161">
        <x:v>1879</x:v>
      </x:c>
      <x:c r="D6" s="1161">
        <x:v>2803</x:v>
      </x:c>
      <x:c r="E6" s="1154"/>
      <x:c r="F6" s="1162">
        <x:v>0.32964680699250798</x:v>
      </x:c>
      <x:c r="G6" s="1162">
        <x:v>0.67035319300749197</x:v>
      </x:c>
      <x:c r="H6" s="861"/>
      <x:c r="I6" s="861"/>
      <x:c r="J6" s="861"/>
      <x:c r="K6" s="861"/>
      <x:c r="L6" s="861"/>
      <x:c r="M6" s="861"/>
      <x:c r="N6" s="861"/>
      <x:c r="O6" s="861"/>
      <x:c r="P6" s="861"/>
      <x:c r="Q6" s="861"/>
      <x:c r="R6" s="1155"/>
    </x:row>
    <x:row r="7" ht="16.5" customHeight="1">
      <x:c r="A7" s="1160" t="s">
        <x:v>564</x:v>
      </x:c>
      <x:c r="B7" s="1163">
        <x:v>107</x:v>
      </x:c>
      <x:c r="C7" s="1161">
        <x:v>958</x:v>
      </x:c>
      <x:c r="D7" s="1161">
        <x:v>1065</x:v>
      </x:c>
      <x:c r="E7" s="1154"/>
      <x:c r="F7" s="1162">
        <x:v>0.100469483568075</x:v>
      </x:c>
      <x:c r="G7" s="1162">
        <x:v>0.89953051643192505</x:v>
      </x:c>
      <x:c r="H7" s="861"/>
      <x:c r="I7" s="861"/>
      <x:c r="J7" s="861"/>
      <x:c r="K7" s="861"/>
      <x:c r="L7" s="861"/>
      <x:c r="M7" s="861"/>
      <x:c r="N7" s="861"/>
      <x:c r="O7" s="861"/>
      <x:c r="P7" s="861"/>
      <x:c r="Q7" s="861"/>
      <x:c r="R7" s="1155"/>
    </x:row>
    <x:row r="8" ht="16.5" customHeight="1">
      <x:c r="A8" s="1160" t="s">
        <x:v>565</x:v>
      </x:c>
      <x:c r="B8" s="1163">
        <x:v>376</x:v>
      </x:c>
      <x:c r="C8" s="1163">
        <x:v>0</x:v>
      </x:c>
      <x:c r="D8" s="1161">
        <x:v>376</x:v>
      </x:c>
      <x:c r="E8" s="1154"/>
      <x:c r="F8" s="1162">
        <x:v>1</x:v>
      </x:c>
      <x:c r="G8" s="1162">
        <x:v>0</x:v>
      </x:c>
      <x:c r="H8" s="861"/>
      <x:c r="I8" s="861"/>
      <x:c r="J8" s="861"/>
      <x:c r="K8" s="861"/>
      <x:c r="L8" s="861"/>
      <x:c r="M8" s="861"/>
      <x:c r="N8" s="861"/>
      <x:c r="O8" s="861"/>
      <x:c r="P8" s="861"/>
      <x:c r="Q8" s="861"/>
      <x:c r="R8" s="1155"/>
    </x:row>
    <x:row r="9" ht="16.5" customHeight="1">
      <x:c r="A9" s="1160" t="s">
        <x:v>566</x:v>
      </x:c>
      <x:c r="B9" s="1163">
        <x:v>244</x:v>
      </x:c>
      <x:c r="C9" s="1163">
        <x:v>0</x:v>
      </x:c>
      <x:c r="D9" s="1161">
        <x:v>244</x:v>
      </x:c>
      <x:c r="E9" s="1154"/>
      <x:c r="F9" s="1162">
        <x:v>1</x:v>
      </x:c>
      <x:c r="G9" s="1162">
        <x:v>0</x:v>
      </x:c>
      <x:c r="H9" s="861"/>
      <x:c r="I9" s="861"/>
      <x:c r="J9" s="861"/>
      <x:c r="K9" s="861"/>
      <x:c r="L9" s="861"/>
      <x:c r="M9" s="861"/>
      <x:c r="N9" s="861"/>
      <x:c r="O9" s="861"/>
      <x:c r="P9" s="861"/>
      <x:c r="Q9" s="861"/>
      <x:c r="R9" s="1155"/>
    </x:row>
    <x:row r="10" ht="16.5" customHeight="1">
      <x:c r="A10" s="1160" t="s">
        <x:v>567</x:v>
      </x:c>
      <x:c r="B10" s="1163">
        <x:v>163</x:v>
      </x:c>
      <x:c r="C10" s="1163">
        <x:v>0</x:v>
      </x:c>
      <x:c r="D10" s="1161">
        <x:v>163</x:v>
      </x:c>
      <x:c r="E10" s="1154"/>
      <x:c r="F10" s="1162">
        <x:v>1</x:v>
      </x:c>
      <x:c r="G10" s="1162">
        <x:v>0</x:v>
      </x:c>
      <x:c r="H10" s="861"/>
      <x:c r="I10" s="861"/>
      <x:c r="J10" s="861"/>
      <x:c r="K10" s="861"/>
      <x:c r="L10" s="861"/>
      <x:c r="M10" s="861"/>
      <x:c r="N10" s="861"/>
      <x:c r="O10" s="861"/>
      <x:c r="P10" s="861"/>
      <x:c r="Q10" s="861"/>
      <x:c r="R10" s="1155"/>
    </x:row>
    <x:row r="11" ht="16.5" customHeight="1">
      <x:c r="A11" s="1160" t="s">
        <x:v>568</x:v>
      </x:c>
      <x:c r="B11" s="1163">
        <x:v>22</x:v>
      </x:c>
      <x:c r="C11" s="1163">
        <x:v>128</x:v>
      </x:c>
      <x:c r="D11" s="1161">
        <x:v>150</x:v>
      </x:c>
      <x:c r="E11" s="1154"/>
      <x:c r="F11" s="1162">
        <x:v>0.146666666666667</x:v>
      </x:c>
      <x:c r="G11" s="1162">
        <x:v>0.85333333333333306</x:v>
      </x:c>
      <x:c r="H11" s="861"/>
      <x:c r="I11" s="861"/>
      <x:c r="J11" s="861"/>
      <x:c r="K11" s="861"/>
      <x:c r="L11" s="861"/>
      <x:c r="M11" s="861"/>
      <x:c r="N11" s="861"/>
      <x:c r="O11" s="861"/>
      <x:c r="P11" s="861"/>
      <x:c r="Q11" s="861"/>
      <x:c r="R11" s="1155"/>
    </x:row>
    <x:row r="12" ht="16.5" customHeight="1">
      <x:c r="A12" s="1160" t="s">
        <x:v>569</x:v>
      </x:c>
      <x:c r="B12" s="1163">
        <x:v>70</x:v>
      </x:c>
      <x:c r="C12" s="1163">
        <x:v>75</x:v>
      </x:c>
      <x:c r="D12" s="1161">
        <x:v>145</x:v>
      </x:c>
      <x:c r="E12" s="1154"/>
      <x:c r="F12" s="1162">
        <x:v>0.48275862068965503</x:v>
      </x:c>
      <x:c r="G12" s="1162">
        <x:v>0.51724137931034497</x:v>
      </x:c>
      <x:c r="H12" s="861"/>
      <x:c r="I12" s="861"/>
      <x:c r="J12" s="861"/>
      <x:c r="K12" s="861"/>
      <x:c r="L12" s="861"/>
      <x:c r="M12" s="861"/>
      <x:c r="N12" s="861"/>
      <x:c r="O12" s="861"/>
      <x:c r="P12" s="861"/>
      <x:c r="Q12" s="861"/>
      <x:c r="R12" s="1155"/>
    </x:row>
    <x:row r="13" ht="18" customHeight="1">
      <x:c r="A13" s="1223" t="s">
        <x:v>570</x:v>
      </x:c>
      <x:c r="B13" s="1218">
        <x:v>2835</x:v>
      </x:c>
      <x:c r="C13" s="1218">
        <x:v>6770</x:v>
      </x:c>
      <x:c r="D13" s="1218">
        <x:v>9605</x:v>
      </x:c>
      <x:c r="E13" s="1219"/>
      <x:c r="F13" s="1220">
        <x:v>0.29515877147319097</x:v>
      </x:c>
      <x:c r="G13" s="1220">
        <x:v>0.70484122852680897</x:v>
      </x:c>
      <x:c r="H13" s="1221"/>
      <x:c r="I13" s="1221"/>
      <x:c r="J13" s="1221"/>
      <x:c r="K13" s="1221"/>
      <x:c r="L13" s="1221"/>
      <x:c r="M13" s="1221"/>
      <x:c r="N13" s="1221"/>
      <x:c r="O13" s="1221"/>
      <x:c r="P13" s="1221"/>
      <x:c r="Q13" s="1221"/>
      <x:c r="R13" s="1221"/>
    </x:row>
    <x:row r="14" ht="16.5" customHeight="1">
      <x:c r="A14" s="916" t="s">
        <x:v>571</x:v>
      </x:c>
      <x:c r="B14" s="1210"/>
      <x:c r="C14" s="1210"/>
      <x:c r="D14" s="1210"/>
      <x:c r="E14" s="1210"/>
      <x:c r="F14" s="1210"/>
      <x:c r="G14" s="1210"/>
      <x:c r="H14" s="918"/>
      <x:c r="I14" s="918"/>
      <x:c r="J14" s="918"/>
      <x:c r="K14" s="918"/>
      <x:c r="L14" s="918"/>
      <x:c r="M14" s="918"/>
      <x:c r="N14" s="918"/>
      <x:c r="O14" s="918"/>
      <x:c r="P14" s="918"/>
      <x:c r="Q14" s="918"/>
      <x:c r="R14" s="918"/>
    </x:row>
    <x:row r="15" ht="13.5" customHeight="1">
      <x:c r="A15" s="1169"/>
      <x:c r="B15" s="861"/>
      <x:c r="C15" s="861"/>
      <x:c r="D15" s="861"/>
      <x:c r="E15" s="861"/>
      <x:c r="F15" s="861"/>
      <x:c r="G15" s="861"/>
      <x:c r="H15" s="861"/>
      <x:c r="I15" s="861"/>
      <x:c r="J15" s="861"/>
      <x:c r="K15" s="861"/>
      <x:c r="L15" s="861"/>
      <x:c r="M15" s="861"/>
      <x:c r="N15" s="861"/>
      <x:c r="O15" s="861"/>
      <x:c r="P15" s="861"/>
      <x:c r="Q15" s="861"/>
      <x:c r="R15" s="1155"/>
    </x:row>
    <x:row r="16" ht="13.5" customHeight="1">
      <x:c r="A16" s="1169"/>
      <x:c r="B16" s="861"/>
      <x:c r="C16" s="861"/>
      <x:c r="D16" s="861"/>
      <x:c r="E16" s="861"/>
      <x:c r="F16" s="861"/>
      <x:c r="G16" s="861"/>
      <x:c r="H16" s="861"/>
      <x:c r="I16" s="861"/>
      <x:c r="J16" s="861"/>
      <x:c r="K16" s="861"/>
      <x:c r="L16" s="861"/>
      <x:c r="M16" s="861"/>
      <x:c r="N16" s="861"/>
      <x:c r="O16" s="861"/>
      <x:c r="P16" s="861"/>
      <x:c r="Q16" s="861"/>
      <x:c r="R16" s="1155"/>
    </x:row>
    <x:row r="17" ht="53.25" customHeight="1">
      <x:c r="A17" s="1170" t="s">
        <x:v>572</x:v>
      </x:c>
      <x:c r="B17" s="1157" t="s">
        <x:v>511</x:v>
      </x:c>
      <x:c r="C17" s="861"/>
      <x:c r="D17" s="861"/>
      <x:c r="E17" s="861"/>
      <x:c r="F17" s="861"/>
      <x:c r="G17" s="861"/>
      <x:c r="H17" s="861"/>
      <x:c r="I17" s="861"/>
      <x:c r="J17" s="861"/>
      <x:c r="K17" s="861"/>
      <x:c r="L17" s="861"/>
      <x:c r="M17" s="861"/>
      <x:c r="N17" s="861"/>
      <x:c r="O17" s="861"/>
      <x:c r="P17" s="861"/>
      <x:c r="Q17" s="861"/>
      <x:c r="R17" s="1155"/>
    </x:row>
    <x:row r="18" ht="16.5" customHeight="1">
      <x:c r="A18" s="1171" t="s">
        <x:v>573</x:v>
      </x:c>
      <x:c r="B18" s="1172">
        <x:v>7.7</x:v>
      </x:c>
      <x:c r="C18" s="861"/>
      <x:c r="D18" s="861"/>
      <x:c r="E18" s="861"/>
      <x:c r="F18" s="861"/>
      <x:c r="G18" s="861"/>
      <x:c r="H18" s="861"/>
      <x:c r="I18" s="861"/>
      <x:c r="J18" s="861"/>
      <x:c r="K18" s="861"/>
      <x:c r="L18" s="861"/>
      <x:c r="M18" s="861"/>
      <x:c r="N18" s="861"/>
      <x:c r="O18" s="861"/>
      <x:c r="P18" s="861"/>
      <x:c r="Q18" s="861"/>
      <x:c r="R18" s="1155"/>
    </x:row>
    <x:row r="19" ht="16.5" customHeight="1">
      <x:c r="A19" s="916" t="s">
        <x:v>574</x:v>
      </x:c>
      <x:c r="B19" s="1210"/>
      <x:c r="C19" s="918"/>
      <x:c r="D19" s="918"/>
      <x:c r="E19" s="918"/>
      <x:c r="F19" s="918"/>
      <x:c r="G19" s="918"/>
      <x:c r="H19" s="918"/>
      <x:c r="I19" s="918"/>
      <x:c r="J19" s="918"/>
      <x:c r="K19" s="918"/>
      <x:c r="L19" s="918"/>
      <x:c r="M19" s="918"/>
      <x:c r="N19" s="918"/>
      <x:c r="O19" s="918"/>
      <x:c r="P19" s="918"/>
      <x:c r="Q19" s="918"/>
      <x:c r="R19" s="918"/>
    </x:row>
    <x:row r="20" ht="409.6000061035156" customHeight="1">
      <x:c r="A20" s="1173" t="s">
        <x:v>575</x:v>
      </x:c>
      <x:c r="B20" s="1154"/>
      <x:c r="C20" s="861"/>
      <x:c r="D20" s="861"/>
      <x:c r="E20" s="861"/>
      <x:c r="F20" s="861"/>
      <x:c r="G20" s="861"/>
      <x:c r="H20" s="861"/>
      <x:c r="I20" s="861"/>
      <x:c r="J20" s="861"/>
      <x:c r="K20" s="861"/>
      <x:c r="L20" s="861"/>
      <x:c r="M20" s="861"/>
      <x:c r="N20" s="861"/>
      <x:c r="O20" s="861"/>
      <x:c r="P20" s="861"/>
      <x:c r="Q20" s="861"/>
      <x:c r="R20" s="1155"/>
    </x:row>
    <x:row r="21" ht="16.5" customHeight="1">
      <x:c r="A21" s="1174"/>
      <x:c r="B21" s="1154"/>
      <x:c r="C21" s="861"/>
      <x:c r="D21" s="861"/>
      <x:c r="E21" s="861"/>
      <x:c r="F21" s="861"/>
      <x:c r="G21" s="861"/>
      <x:c r="H21" s="861"/>
      <x:c r="I21" s="861"/>
      <x:c r="J21" s="861"/>
      <x:c r="K21" s="861"/>
      <x:c r="L21" s="861"/>
      <x:c r="M21" s="861"/>
      <x:c r="N21" s="861"/>
      <x:c r="O21" s="861"/>
      <x:c r="P21" s="861"/>
      <x:c r="Q21" s="861"/>
      <x:c r="R21" s="1155"/>
    </x:row>
    <x:row r="22" ht="16.5" customHeight="1">
      <x:c r="A22" s="1174"/>
      <x:c r="B22" s="1154"/>
      <x:c r="C22" s="861"/>
      <x:c r="D22" s="861"/>
      <x:c r="E22" s="861"/>
      <x:c r="F22" s="861"/>
      <x:c r="G22" s="861"/>
      <x:c r="H22" s="861"/>
      <x:c r="I22" s="861"/>
      <x:c r="J22" s="861"/>
      <x:c r="K22" s="861"/>
      <x:c r="L22" s="861"/>
      <x:c r="M22" s="861"/>
      <x:c r="N22" s="861"/>
      <x:c r="O22" s="861"/>
      <x:c r="P22" s="861"/>
      <x:c r="Q22" s="861"/>
      <x:c r="R22" s="1155"/>
    </x:row>
    <x:row r="23" ht="249.75" customHeight="1">
      <x:c r="A23" s="1232" t="s">
        <x:v>576</x:v>
      </x:c>
      <x:c r="B23" s="932" t="s">
        <x:v>511</x:v>
      </x:c>
      <x:c r="C23" s="918"/>
      <x:c r="D23" s="918"/>
      <x:c r="E23" s="918"/>
      <x:c r="F23" s="918"/>
      <x:c r="G23" s="918"/>
      <x:c r="H23" s="918"/>
      <x:c r="I23" s="918"/>
      <x:c r="J23" s="918"/>
      <x:c r="K23" s="918"/>
      <x:c r="L23" s="918"/>
      <x:c r="M23" s="918"/>
      <x:c r="N23" s="918"/>
      <x:c r="O23" s="918"/>
      <x:c r="P23" s="918"/>
      <x:c r="Q23" s="918"/>
      <x:c r="R23" s="918"/>
    </x:row>
    <x:row r="24" ht="16.5" customHeight="1">
      <x:c r="A24" s="1160" t="s">
        <x:v>373</x:v>
      </x:c>
      <x:c r="B24" s="1172">
        <x:v>3.7125564891885601</x:v>
      </x:c>
      <x:c r="C24" s="861"/>
      <x:c r="D24" s="861"/>
      <x:c r="E24" s="861"/>
      <x:c r="F24" s="861"/>
      <x:c r="G24" s="861"/>
      <x:c r="H24" s="861"/>
      <x:c r="I24" s="861"/>
      <x:c r="J24" s="861"/>
      <x:c r="K24" s="861"/>
      <x:c r="L24" s="861"/>
      <x:c r="M24" s="861"/>
      <x:c r="N24" s="861"/>
      <x:c r="O24" s="861"/>
      <x:c r="P24" s="861"/>
      <x:c r="Q24" s="861"/>
      <x:c r="R24" s="1155"/>
    </x:row>
    <x:row r="25" ht="16.5" customHeight="1">
      <x:c r="A25" s="1160" t="s">
        <x:v>577</x:v>
      </x:c>
      <x:c r="B25" s="1172">
        <x:v>2.2335900062664802</x:v>
      </x:c>
      <x:c r="C25" s="861"/>
      <x:c r="D25" s="861"/>
      <x:c r="E25" s="861"/>
      <x:c r="F25" s="861"/>
      <x:c r="G25" s="861"/>
      <x:c r="H25" s="861"/>
      <x:c r="I25" s="861"/>
      <x:c r="J25" s="861"/>
      <x:c r="K25" s="861"/>
      <x:c r="L25" s="861"/>
      <x:c r="M25" s="861"/>
      <x:c r="N25" s="861"/>
      <x:c r="O25" s="861"/>
      <x:c r="P25" s="861"/>
      <x:c r="Q25" s="861"/>
      <x:c r="R25" s="1155"/>
    </x:row>
    <x:row r="26" ht="16.5" customHeight="1">
      <x:c r="A26" s="1160" t="s">
        <x:v>564</x:v>
      </x:c>
      <x:c r="B26" s="1172">
        <x:v>0.84865264240949101</x:v>
      </x:c>
      <x:c r="C26" s="861"/>
      <x:c r="D26" s="861"/>
      <x:c r="E26" s="861"/>
      <x:c r="F26" s="861"/>
      <x:c r="G26" s="861"/>
      <x:c r="H26" s="861"/>
      <x:c r="I26" s="861"/>
      <x:c r="J26" s="861"/>
      <x:c r="K26" s="861"/>
      <x:c r="L26" s="861"/>
      <x:c r="M26" s="861"/>
      <x:c r="N26" s="861"/>
      <x:c r="O26" s="861"/>
      <x:c r="P26" s="861"/>
      <x:c r="Q26" s="861"/>
      <x:c r="R26" s="1155"/>
    </x:row>
    <x:row r="27" ht="16.5" customHeight="1">
      <x:c r="A27" s="1160" t="s">
        <x:v>578</x:v>
      </x:c>
      <x:c r="B27" s="1172">
        <x:v>0.29961820990231802</x:v>
      </x:c>
      <x:c r="C27" s="861"/>
      <x:c r="D27" s="861"/>
      <x:c r="E27" s="861"/>
      <x:c r="F27" s="861"/>
      <x:c r="G27" s="861"/>
      <x:c r="H27" s="861"/>
      <x:c r="I27" s="861"/>
      <x:c r="J27" s="861"/>
      <x:c r="K27" s="861"/>
      <x:c r="L27" s="861"/>
      <x:c r="M27" s="861"/>
      <x:c r="N27" s="861"/>
      <x:c r="O27" s="861"/>
      <x:c r="P27" s="861"/>
      <x:c r="Q27" s="861"/>
      <x:c r="R27" s="1155"/>
    </x:row>
    <x:row r="28" ht="16.5" customHeight="1">
      <x:c r="A28" s="1160" t="s">
        <x:v>566</x:v>
      </x:c>
      <x:c r="B28" s="1172">
        <x:v>0.19443309366001499</x:v>
      </x:c>
      <x:c r="C28" s="861"/>
      <x:c r="D28" s="861"/>
      <x:c r="E28" s="861"/>
      <x:c r="F28" s="861"/>
      <x:c r="G28" s="861"/>
      <x:c r="H28" s="861"/>
      <x:c r="I28" s="861"/>
      <x:c r="J28" s="861"/>
      <x:c r="K28" s="861"/>
      <x:c r="L28" s="861"/>
      <x:c r="M28" s="861"/>
      <x:c r="N28" s="861"/>
      <x:c r="O28" s="861"/>
      <x:c r="P28" s="861"/>
      <x:c r="Q28" s="861"/>
      <x:c r="R28" s="1155"/>
    </x:row>
    <x:row r="29" ht="16.5" customHeight="1">
      <x:c r="A29" s="1160" t="s">
        <x:v>567</x:v>
      </x:c>
      <x:c r="B29" s="1172">
        <x:v>0.12988768142042001</x:v>
      </x:c>
      <x:c r="C29" s="861"/>
      <x:c r="D29" s="861"/>
      <x:c r="E29" s="861"/>
      <x:c r="F29" s="861"/>
      <x:c r="G29" s="861"/>
      <x:c r="H29" s="861"/>
      <x:c r="I29" s="861"/>
      <x:c r="J29" s="861"/>
      <x:c r="K29" s="861"/>
      <x:c r="L29" s="861"/>
      <x:c r="M29" s="861"/>
      <x:c r="N29" s="861"/>
      <x:c r="O29" s="861"/>
      <x:c r="P29" s="861"/>
      <x:c r="Q29" s="861"/>
      <x:c r="R29" s="1155"/>
    </x:row>
    <x:row r="30" ht="16.5" customHeight="1">
      <x:c r="A30" s="1160" t="s">
        <x:v>569</x:v>
      </x:c>
      <x:c r="B30" s="1172">
        <x:v>0.115544256478288</x:v>
      </x:c>
      <x:c r="C30" s="861"/>
      <x:c r="D30" s="861"/>
      <x:c r="E30" s="861"/>
      <x:c r="F30" s="861"/>
      <x:c r="G30" s="861"/>
      <x:c r="H30" s="861"/>
      <x:c r="I30" s="861"/>
      <x:c r="J30" s="861"/>
      <x:c r="K30" s="861"/>
      <x:c r="L30" s="861"/>
      <x:c r="M30" s="861"/>
      <x:c r="N30" s="861"/>
      <x:c r="O30" s="861"/>
      <x:c r="P30" s="861"/>
      <x:c r="Q30" s="861"/>
      <x:c r="R30" s="1155"/>
    </x:row>
    <x:row r="31" ht="16.5" customHeight="1">
      <x:c r="A31" s="1160" t="s">
        <x:v>568</x:v>
      </x:c>
      <x:c r="B31" s="1172">
        <x:v>0.119528541184435</x:v>
      </x:c>
      <x:c r="C31" s="861"/>
      <x:c r="D31" s="861"/>
      <x:c r="E31" s="861"/>
      <x:c r="F31" s="861"/>
      <x:c r="G31" s="861"/>
      <x:c r="H31" s="861"/>
      <x:c r="I31" s="861"/>
      <x:c r="J31" s="861"/>
      <x:c r="K31" s="861"/>
      <x:c r="L31" s="861"/>
      <x:c r="M31" s="861"/>
      <x:c r="N31" s="861"/>
      <x:c r="O31" s="861"/>
      <x:c r="P31" s="861"/>
      <x:c r="Q31" s="861"/>
      <x:c r="R31" s="1155"/>
    </x:row>
    <x:row r="32" ht="16.5" customHeight="1">
      <x:c r="A32" s="916" t="s">
        <x:v>579</x:v>
      </x:c>
      <x:c r="B32" s="1210"/>
      <x:c r="C32" s="918"/>
      <x:c r="D32" s="918"/>
      <x:c r="E32" s="918"/>
      <x:c r="F32" s="918"/>
      <x:c r="G32" s="918"/>
      <x:c r="H32" s="918"/>
      <x:c r="I32" s="918"/>
      <x:c r="J32" s="918"/>
      <x:c r="K32" s="918"/>
      <x:c r="L32" s="918"/>
      <x:c r="M32" s="918"/>
      <x:c r="N32" s="918"/>
      <x:c r="O32" s="918"/>
      <x:c r="P32" s="918"/>
      <x:c r="Q32" s="918"/>
      <x:c r="R32" s="918"/>
    </x:row>
    <x:row r="33" ht="13.5" customHeight="1">
      <x:c r="A33" s="1169"/>
      <x:c r="B33" s="861"/>
      <x:c r="C33" s="861"/>
      <x:c r="D33" s="861"/>
      <x:c r="E33" s="861"/>
      <x:c r="F33" s="861"/>
      <x:c r="G33" s="861"/>
      <x:c r="H33" s="861"/>
      <x:c r="I33" s="861"/>
      <x:c r="J33" s="861"/>
      <x:c r="K33" s="861"/>
      <x:c r="L33" s="861"/>
      <x:c r="M33" s="861"/>
      <x:c r="N33" s="861"/>
      <x:c r="O33" s="861"/>
      <x:c r="P33" s="861"/>
      <x:c r="Q33" s="861"/>
      <x:c r="R33" s="1155"/>
    </x:row>
    <x:row r="34" ht="13.5" customHeight="1">
      <x:c r="A34" s="1169"/>
      <x:c r="B34" s="861"/>
      <x:c r="C34" s="861"/>
      <x:c r="D34" s="861"/>
      <x:c r="E34" s="861"/>
      <x:c r="F34" s="861"/>
      <x:c r="G34" s="861"/>
      <x:c r="H34" s="861"/>
      <x:c r="I34" s="861"/>
      <x:c r="J34" s="861"/>
      <x:c r="K34" s="861"/>
      <x:c r="L34" s="861"/>
      <x:c r="M34" s="861"/>
      <x:c r="N34" s="861"/>
      <x:c r="O34" s="861"/>
      <x:c r="P34" s="861"/>
      <x:c r="Q34" s="861"/>
      <x:c r="R34" s="1155"/>
    </x:row>
    <x:row r="35" ht="231.75" customHeight="1">
      <x:c r="A35" s="1232" t="s">
        <x:v>580</x:v>
      </x:c>
      <x:c r="B35" s="932" t="s">
        <x:v>511</x:v>
      </x:c>
      <x:c r="C35" s="918"/>
      <x:c r="D35" s="918"/>
      <x:c r="E35" s="918"/>
      <x:c r="F35" s="918"/>
      <x:c r="G35" s="918"/>
      <x:c r="H35" s="918"/>
      <x:c r="I35" s="918"/>
      <x:c r="J35" s="918"/>
      <x:c r="K35" s="918"/>
      <x:c r="L35" s="918"/>
      <x:c r="M35" s="918"/>
      <x:c r="N35" s="918"/>
      <x:c r="O35" s="918"/>
      <x:c r="P35" s="918"/>
      <x:c r="Q35" s="918"/>
      <x:c r="R35" s="918"/>
    </x:row>
    <x:row r="36" ht="16.5" customHeight="1">
      <x:c r="A36" s="1160" t="s">
        <x:v>581</x:v>
      </x:c>
      <x:c r="B36" s="1172">
        <x:v>5.9772195882314696</x:v>
      </x:c>
      <x:c r="C36" s="861"/>
      <x:c r="D36" s="861"/>
      <x:c r="E36" s="861"/>
      <x:c r="F36" s="861"/>
      <x:c r="G36" s="861"/>
      <x:c r="H36" s="861"/>
      <x:c r="I36" s="861"/>
      <x:c r="J36" s="861"/>
      <x:c r="K36" s="861"/>
      <x:c r="L36" s="861"/>
      <x:c r="M36" s="861"/>
      <x:c r="N36" s="861"/>
      <x:c r="O36" s="861"/>
      <x:c r="P36" s="861"/>
      <x:c r="Q36" s="861"/>
      <x:c r="R36" s="1155"/>
    </x:row>
    <x:row r="37" ht="16.5" customHeight="1">
      <x:c r="A37" s="1160" t="s">
        <x:v>582</x:v>
      </x:c>
      <x:c r="B37" s="1172">
        <x:v>7.0694644463193903</x:v>
      </x:c>
      <x:c r="C37" s="861"/>
      <x:c r="D37" s="861"/>
      <x:c r="E37" s="861"/>
      <x:c r="F37" s="861"/>
      <x:c r="G37" s="861"/>
      <x:c r="H37" s="861"/>
      <x:c r="I37" s="861"/>
      <x:c r="J37" s="861"/>
      <x:c r="K37" s="861"/>
      <x:c r="L37" s="861"/>
      <x:c r="M37" s="861"/>
      <x:c r="N37" s="861"/>
      <x:c r="O37" s="861"/>
      <x:c r="P37" s="861"/>
      <x:c r="Q37" s="861"/>
      <x:c r="R37" s="1155"/>
    </x:row>
    <x:row r="38" ht="16.5" customHeight="1">
      <x:c r="A38" s="1160" t="s">
        <x:v>583</x:v>
      </x:c>
      <x:c r="B38" s="1172">
        <x:v>8.1813656344942292</x:v>
      </x:c>
      <x:c r="C38" s="861"/>
      <x:c r="D38" s="861"/>
      <x:c r="E38" s="861"/>
      <x:c r="F38" s="861"/>
      <x:c r="G38" s="861"/>
      <x:c r="H38" s="861"/>
      <x:c r="I38" s="861"/>
      <x:c r="J38" s="861"/>
      <x:c r="K38" s="861"/>
      <x:c r="L38" s="861"/>
      <x:c r="M38" s="861"/>
      <x:c r="N38" s="861"/>
      <x:c r="O38" s="861"/>
      <x:c r="P38" s="861"/>
      <x:c r="Q38" s="861"/>
      <x:c r="R38" s="1155"/>
    </x:row>
    <x:row r="39" ht="16.5" customHeight="1">
      <x:c r="A39" s="916" t="s">
        <x:v>584</x:v>
      </x:c>
      <x:c r="B39" s="1210"/>
      <x:c r="C39" s="918"/>
      <x:c r="D39" s="918"/>
      <x:c r="E39" s="918"/>
      <x:c r="F39" s="918"/>
      <x:c r="G39" s="918"/>
      <x:c r="H39" s="918"/>
      <x:c r="I39" s="918"/>
      <x:c r="J39" s="918"/>
      <x:c r="K39" s="918"/>
      <x:c r="L39" s="918"/>
      <x:c r="M39" s="918"/>
      <x:c r="N39" s="918"/>
      <x:c r="O39" s="918"/>
      <x:c r="P39" s="918"/>
      <x:c r="Q39" s="918"/>
      <x:c r="R39" s="918"/>
    </x:row>
    <x:row r="40" ht="16.5" customHeight="1">
      <x:c r="A40" s="1174"/>
      <x:c r="B40" s="1175"/>
      <x:c r="C40" s="861"/>
      <x:c r="D40" s="861"/>
      <x:c r="E40" s="861"/>
      <x:c r="F40" s="861"/>
      <x:c r="G40" s="861"/>
      <x:c r="H40" s="861"/>
      <x:c r="I40" s="861"/>
      <x:c r="J40" s="861"/>
      <x:c r="K40" s="861"/>
      <x:c r="L40" s="861"/>
      <x:c r="M40" s="861"/>
      <x:c r="N40" s="861"/>
      <x:c r="O40" s="861"/>
      <x:c r="P40" s="861"/>
      <x:c r="Q40" s="861"/>
      <x:c r="R40" s="1155"/>
    </x:row>
    <x:row r="41" ht="16.5" customHeight="1">
      <x:c r="A41" s="1174"/>
      <x:c r="B41" s="1154"/>
      <x:c r="C41" s="861"/>
      <x:c r="D41" s="861"/>
      <x:c r="E41" s="861"/>
      <x:c r="F41" s="861"/>
      <x:c r="G41" s="861"/>
      <x:c r="H41" s="861"/>
      <x:c r="I41" s="861"/>
      <x:c r="J41" s="861"/>
      <x:c r="K41" s="861"/>
      <x:c r="L41" s="861"/>
      <x:c r="M41" s="861"/>
      <x:c r="N41" s="861"/>
      <x:c r="O41" s="861"/>
      <x:c r="P41" s="861"/>
      <x:c r="Q41" s="861"/>
      <x:c r="R41" s="1155"/>
    </x:row>
    <x:row r="42" ht="231.75" customHeight="1">
      <x:c r="A42" s="1232" t="s">
        <x:v>585</x:v>
      </x:c>
      <x:c r="B42" s="932" t="s">
        <x:v>511</x:v>
      </x:c>
      <x:c r="C42" s="918"/>
      <x:c r="D42" s="918"/>
      <x:c r="E42" s="918"/>
      <x:c r="F42" s="918"/>
      <x:c r="G42" s="918"/>
      <x:c r="H42" s="918"/>
      <x:c r="I42" s="918"/>
      <x:c r="J42" s="918"/>
      <x:c r="K42" s="918"/>
      <x:c r="L42" s="918"/>
      <x:c r="M42" s="918"/>
      <x:c r="N42" s="918"/>
      <x:c r="O42" s="918"/>
      <x:c r="P42" s="918"/>
      <x:c r="Q42" s="918"/>
      <x:c r="R42" s="918"/>
    </x:row>
    <x:row r="43" ht="16.5" customHeight="1">
      <x:c r="A43" s="1160" t="s">
        <x:v>586</x:v>
      </x:c>
      <x:c r="B43" s="1172">
        <x:v>7.07885448048114</x:v>
      </x:c>
      <x:c r="C43" s="861"/>
      <x:c r="D43" s="861"/>
      <x:c r="E43" s="861"/>
      <x:c r="F43" s="861"/>
      <x:c r="G43" s="861"/>
      <x:c r="H43" s="861"/>
      <x:c r="I43" s="861"/>
      <x:c r="J43" s="861"/>
      <x:c r="K43" s="861"/>
      <x:c r="L43" s="861"/>
      <x:c r="M43" s="861"/>
      <x:c r="N43" s="861"/>
      <x:c r="O43" s="861"/>
      <x:c r="P43" s="861"/>
      <x:c r="Q43" s="861"/>
      <x:c r="R43" s="1155"/>
    </x:row>
    <x:row r="44" ht="16.5" customHeight="1">
      <x:c r="A44" s="1160" t="s">
        <x:v>587</x:v>
      </x:c>
      <x:c r="B44" s="1172">
        <x:v>7.8000898265796197</x:v>
      </x:c>
      <x:c r="C44" s="861"/>
      <x:c r="D44" s="861"/>
      <x:c r="E44" s="861"/>
      <x:c r="F44" s="861"/>
      <x:c r="G44" s="861"/>
      <x:c r="H44" s="861"/>
      <x:c r="I44" s="861"/>
      <x:c r="J44" s="861"/>
      <x:c r="K44" s="861"/>
      <x:c r="L44" s="861"/>
      <x:c r="M44" s="861"/>
      <x:c r="N44" s="861"/>
      <x:c r="O44" s="861"/>
      <x:c r="P44" s="861"/>
      <x:c r="Q44" s="861"/>
      <x:c r="R44" s="1155"/>
    </x:row>
    <x:row r="45" ht="16.5" customHeight="1">
      <x:c r="A45" s="1160" t="s">
        <x:v>588</x:v>
      </x:c>
      <x:c r="B45" s="1172">
        <x:v>11.9029109881455</x:v>
      </x:c>
      <x:c r="C45" s="861"/>
      <x:c r="D45" s="861"/>
      <x:c r="E45" s="861"/>
      <x:c r="F45" s="861"/>
      <x:c r="G45" s="861"/>
      <x:c r="H45" s="861"/>
      <x:c r="I45" s="861"/>
      <x:c r="J45" s="861"/>
      <x:c r="K45" s="861"/>
      <x:c r="L45" s="861"/>
      <x:c r="M45" s="861"/>
      <x:c r="N45" s="861"/>
      <x:c r="O45" s="861"/>
      <x:c r="P45" s="861"/>
      <x:c r="Q45" s="861"/>
      <x:c r="R45" s="1155"/>
    </x:row>
    <x:row r="46" ht="16.5" customHeight="1">
      <x:c r="A46" s="916" t="s">
        <x:v>589</x:v>
      </x:c>
      <x:c r="B46" s="1210"/>
      <x:c r="C46" s="918"/>
      <x:c r="D46" s="918"/>
      <x:c r="E46" s="918"/>
      <x:c r="F46" s="918"/>
      <x:c r="G46" s="918"/>
      <x:c r="H46" s="918"/>
      <x:c r="I46" s="918"/>
      <x:c r="J46" s="918"/>
      <x:c r="K46" s="918"/>
      <x:c r="L46" s="918"/>
      <x:c r="M46" s="918"/>
      <x:c r="N46" s="918"/>
      <x:c r="O46" s="918"/>
      <x:c r="P46" s="918"/>
      <x:c r="Q46" s="918"/>
      <x:c r="R46" s="918"/>
    </x:row>
    <x:row r="47" ht="13.5" customHeight="1">
      <x:c r="A47" s="1169"/>
      <x:c r="B47" s="861"/>
      <x:c r="C47" s="861"/>
      <x:c r="D47" s="861"/>
      <x:c r="E47" s="861"/>
      <x:c r="F47" s="861"/>
      <x:c r="G47" s="861"/>
      <x:c r="H47" s="861"/>
      <x:c r="I47" s="861"/>
      <x:c r="J47" s="861"/>
      <x:c r="K47" s="861"/>
      <x:c r="L47" s="861"/>
      <x:c r="M47" s="861"/>
      <x:c r="N47" s="861"/>
      <x:c r="O47" s="861"/>
      <x:c r="P47" s="861"/>
      <x:c r="Q47" s="861"/>
      <x:c r="R47" s="1155"/>
    </x:row>
    <x:row r="48" ht="13.5" customHeight="1">
      <x:c r="A48" s="1169"/>
      <x:c r="B48" s="861"/>
      <x:c r="C48" s="861"/>
      <x:c r="D48" s="861"/>
      <x:c r="E48" s="861"/>
      <x:c r="F48" s="861"/>
      <x:c r="G48" s="861"/>
      <x:c r="H48" s="861"/>
      <x:c r="I48" s="861"/>
      <x:c r="J48" s="861"/>
      <x:c r="K48" s="861"/>
      <x:c r="L48" s="861"/>
      <x:c r="M48" s="861"/>
      <x:c r="N48" s="861"/>
      <x:c r="O48" s="861"/>
      <x:c r="P48" s="861"/>
      <x:c r="Q48" s="861"/>
      <x:c r="R48" s="1155"/>
    </x:row>
    <x:row r="49" ht="89.25" customHeight="1">
      <x:c r="A49" s="1156" t="s">
        <x:v>590</x:v>
      </x:c>
      <x:c r="B49" s="1157" t="s">
        <x:v>557</x:v>
      </x:c>
      <x:c r="C49" s="1158"/>
      <x:c r="D49" s="1158"/>
      <x:c r="E49" s="1154"/>
      <x:c r="F49" s="1154"/>
      <x:c r="G49" s="1154"/>
      <x:c r="H49" s="1154"/>
      <x:c r="I49" s="1154"/>
      <x:c r="J49" s="1154"/>
      <x:c r="K49" s="1154"/>
      <x:c r="L49" s="861"/>
      <x:c r="M49" s="861"/>
      <x:c r="N49" s="861"/>
      <x:c r="O49" s="861"/>
      <x:c r="P49" s="861"/>
      <x:c r="Q49" s="861"/>
      <x:c r="R49" s="1155"/>
    </x:row>
    <x:row r="50" ht="84" customHeight="1">
      <x:c r="A50" s="1159"/>
      <x:c r="B50" s="1157" t="s">
        <x:v>558</x:v>
      </x:c>
      <x:c r="C50" s="1157" t="s">
        <x:v>559</x:v>
      </x:c>
      <x:c r="D50" s="1157" t="s">
        <x:v>560</x:v>
      </x:c>
      <x:c r="E50" s="1154"/>
      <x:c r="F50" s="1157" t="s">
        <x:v>561</x:v>
      </x:c>
      <x:c r="G50" s="1157" t="s">
        <x:v>562</x:v>
      </x:c>
      <x:c r="H50" s="1154"/>
      <x:c r="I50" s="1154"/>
      <x:c r="J50" s="1154"/>
      <x:c r="K50" s="1154"/>
      <x:c r="L50" s="861"/>
      <x:c r="M50" s="861"/>
      <x:c r="N50" s="861"/>
      <x:c r="O50" s="861"/>
      <x:c r="P50" s="861"/>
      <x:c r="Q50" s="861"/>
      <x:c r="R50" s="1155"/>
    </x:row>
    <x:row r="51" ht="16.5" customHeight="1">
      <x:c r="A51" s="1160" t="s">
        <x:v>563</x:v>
      </x:c>
      <x:c r="B51" s="1163">
        <x:v>129</x:v>
      </x:c>
      <x:c r="C51" s="1163">
        <x:v>301</x:v>
      </x:c>
      <x:c r="D51" s="1163">
        <x:v>430</x:v>
      </x:c>
      <x:c r="E51" s="1154"/>
      <x:c r="F51" s="1162">
        <x:v>0.3</x:v>
      </x:c>
      <x:c r="G51" s="1162">
        <x:v>0.7</x:v>
      </x:c>
      <x:c r="H51" s="1154"/>
      <x:c r="I51" s="1154"/>
      <x:c r="J51" s="1154"/>
      <x:c r="K51" s="1154"/>
      <x:c r="L51" s="861"/>
      <x:c r="M51" s="861"/>
      <x:c r="N51" s="861"/>
      <x:c r="O51" s="861"/>
      <x:c r="P51" s="861"/>
      <x:c r="Q51" s="861"/>
      <x:c r="R51" s="1155"/>
    </x:row>
    <x:row r="52" ht="41.25" customHeight="1">
      <x:c r="A52" s="1160" t="s">
        <x:v>591</x:v>
      </x:c>
      <x:c r="B52" s="1163">
        <x:v>98</x:v>
      </x:c>
      <x:c r="C52" s="1163">
        <x:v>130</x:v>
      </x:c>
      <x:c r="D52" s="1163">
        <x:v>228</x:v>
      </x:c>
      <x:c r="E52" s="1154"/>
      <x:c r="F52" s="1162">
        <x:v>0.429824561403509</x:v>
      </x:c>
      <x:c r="G52" s="1162">
        <x:v>0.570175438596491</x:v>
      </x:c>
      <x:c r="H52" s="1154"/>
      <x:c r="I52" s="1154"/>
      <x:c r="J52" s="1154"/>
      <x:c r="K52" s="1154"/>
      <x:c r="L52" s="861"/>
      <x:c r="M52" s="861"/>
      <x:c r="N52" s="861"/>
      <x:c r="O52" s="861"/>
      <x:c r="P52" s="861"/>
      <x:c r="Q52" s="861"/>
      <x:c r="R52" s="1155"/>
    </x:row>
    <x:row r="53" ht="16.5" customHeight="1">
      <x:c r="A53" s="1160" t="s">
        <x:v>564</x:v>
      </x:c>
      <x:c r="B53" s="1163">
        <x:v>15</x:v>
      </x:c>
      <x:c r="C53" s="1163">
        <x:v>47</x:v>
      </x:c>
      <x:c r="D53" s="1163">
        <x:v>62</x:v>
      </x:c>
      <x:c r="E53" s="1154"/>
      <x:c r="F53" s="1162">
        <x:v>0.241935483870968</x:v>
      </x:c>
      <x:c r="G53" s="1162">
        <x:v>0.75806451612903203</x:v>
      </x:c>
      <x:c r="H53" s="1154"/>
      <x:c r="I53" s="1154"/>
      <x:c r="J53" s="1154"/>
      <x:c r="K53" s="1154"/>
      <x:c r="L53" s="861"/>
      <x:c r="M53" s="861"/>
      <x:c r="N53" s="861"/>
      <x:c r="O53" s="861"/>
      <x:c r="P53" s="861"/>
      <x:c r="Q53" s="861"/>
      <x:c r="R53" s="1155"/>
    </x:row>
    <x:row r="54" ht="16.5" customHeight="1">
      <x:c r="A54" s="1160" t="s">
        <x:v>373</x:v>
      </x:c>
      <x:c r="B54" s="1163">
        <x:v>12</x:v>
      </x:c>
      <x:c r="C54" s="1163">
        <x:v>22</x:v>
      </x:c>
      <x:c r="D54" s="1163">
        <x:v>34</x:v>
      </x:c>
      <x:c r="E54" s="1154"/>
      <x:c r="F54" s="1162">
        <x:v>0.35294117647058798</x:v>
      </x:c>
      <x:c r="G54" s="1162">
        <x:v>0.64705882352941202</x:v>
      </x:c>
      <x:c r="H54" s="1154"/>
      <x:c r="I54" s="1154"/>
      <x:c r="J54" s="1154"/>
      <x:c r="K54" s="1154"/>
      <x:c r="L54" s="861"/>
      <x:c r="M54" s="861"/>
      <x:c r="N54" s="861"/>
      <x:c r="O54" s="861"/>
      <x:c r="P54" s="861"/>
      <x:c r="Q54" s="861"/>
      <x:c r="R54" s="1155"/>
    </x:row>
    <x:row r="55" ht="16.5" customHeight="1">
      <x:c r="A55" s="1160" t="s">
        <x:v>592</x:v>
      </x:c>
      <x:c r="B55" s="1163">
        <x:v>19</x:v>
      </x:c>
      <x:c r="C55" s="1163">
        <x:v>0</x:v>
      </x:c>
      <x:c r="D55" s="1163">
        <x:v>19</x:v>
      </x:c>
      <x:c r="E55" s="1154"/>
      <x:c r="F55" s="1162">
        <x:v>1</x:v>
      </x:c>
      <x:c r="G55" s="1162">
        <x:v>0</x:v>
      </x:c>
      <x:c r="H55" s="1154"/>
      <x:c r="I55" s="1154"/>
      <x:c r="J55" s="1154"/>
      <x:c r="K55" s="1154"/>
      <x:c r="L55" s="861"/>
      <x:c r="M55" s="861"/>
      <x:c r="N55" s="861"/>
      <x:c r="O55" s="861"/>
      <x:c r="P55" s="861"/>
      <x:c r="Q55" s="861"/>
      <x:c r="R55" s="1155"/>
    </x:row>
    <x:row r="56" ht="16.5" customHeight="1">
      <x:c r="A56" s="1160" t="s">
        <x:v>567</x:v>
      </x:c>
      <x:c r="B56" s="1163">
        <x:v>14</x:v>
      </x:c>
      <x:c r="C56" s="1163">
        <x:v>0</x:v>
      </x:c>
      <x:c r="D56" s="1163">
        <x:v>14</x:v>
      </x:c>
      <x:c r="E56" s="1154"/>
      <x:c r="F56" s="1162">
        <x:v>1</x:v>
      </x:c>
      <x:c r="G56" s="1162">
        <x:v>0</x:v>
      </x:c>
      <x:c r="H56" s="1154"/>
      <x:c r="I56" s="1154"/>
      <x:c r="J56" s="1154"/>
      <x:c r="K56" s="1154"/>
      <x:c r="L56" s="861"/>
      <x:c r="M56" s="861"/>
      <x:c r="N56" s="861"/>
      <x:c r="O56" s="861"/>
      <x:c r="P56" s="861"/>
      <x:c r="Q56" s="861"/>
      <x:c r="R56" s="1155"/>
    </x:row>
    <x:row r="57" ht="16.5" customHeight="1">
      <x:c r="A57" s="1160" t="s">
        <x:v>565</x:v>
      </x:c>
      <x:c r="B57" s="1163">
        <x:v>19</x:v>
      </x:c>
      <x:c r="C57" s="1163">
        <x:v>0</x:v>
      </x:c>
      <x:c r="D57" s="1163">
        <x:v>19</x:v>
      </x:c>
      <x:c r="E57" s="1154"/>
      <x:c r="F57" s="1162">
        <x:v>1</x:v>
      </x:c>
      <x:c r="G57" s="1162">
        <x:v>0</x:v>
      </x:c>
      <x:c r="H57" s="1154"/>
      <x:c r="I57" s="1154"/>
      <x:c r="J57" s="1154"/>
      <x:c r="K57" s="1154"/>
      <x:c r="L57" s="861"/>
      <x:c r="M57" s="861"/>
      <x:c r="N57" s="861"/>
      <x:c r="O57" s="861"/>
      <x:c r="P57" s="861"/>
      <x:c r="Q57" s="861"/>
      <x:c r="R57" s="1155"/>
    </x:row>
    <x:row r="58" ht="16.5" customHeight="1">
      <x:c r="A58" s="1160" t="s">
        <x:v>568</x:v>
      </x:c>
      <x:c r="B58" s="1163">
        <x:v>3</x:v>
      </x:c>
      <x:c r="C58" s="1163">
        <x:v>5</x:v>
      </x:c>
      <x:c r="D58" s="1163">
        <x:v>8</x:v>
      </x:c>
      <x:c r="E58" s="1154"/>
      <x:c r="F58" s="1162">
        <x:v>0.375</x:v>
      </x:c>
      <x:c r="G58" s="1162">
        <x:v>0.625</x:v>
      </x:c>
      <x:c r="H58" s="1154"/>
      <x:c r="I58" s="1154"/>
      <x:c r="J58" s="1154"/>
      <x:c r="K58" s="1154"/>
      <x:c r="L58" s="861"/>
      <x:c r="M58" s="861"/>
      <x:c r="N58" s="861"/>
      <x:c r="O58" s="861"/>
      <x:c r="P58" s="861"/>
      <x:c r="Q58" s="861"/>
      <x:c r="R58" s="1155"/>
    </x:row>
    <x:row r="59" ht="16.5" customHeight="1">
      <x:c r="A59" s="1223" t="s">
        <x:v>570</x:v>
      </x:c>
      <x:c r="B59" s="1234">
        <x:v>309</x:v>
      </x:c>
      <x:c r="C59" s="1234">
        <x:v>505</x:v>
      </x:c>
      <x:c r="D59" s="1234">
        <x:v>814</x:v>
      </x:c>
      <x:c r="E59" s="1219"/>
      <x:c r="F59" s="1220">
        <x:v>0.37960687960688</x:v>
      </x:c>
      <x:c r="G59" s="1220">
        <x:v>0.62039312039312</x:v>
      </x:c>
      <x:c r="H59" s="1219"/>
      <x:c r="I59" s="1219"/>
      <x:c r="J59" s="1219"/>
      <x:c r="K59" s="1219"/>
      <x:c r="L59" s="1221"/>
      <x:c r="M59" s="1221"/>
      <x:c r="N59" s="1221"/>
      <x:c r="O59" s="1221"/>
      <x:c r="P59" s="1221"/>
      <x:c r="Q59" s="1221"/>
      <x:c r="R59" s="1221"/>
    </x:row>
    <x:row r="60" ht="16.5" customHeight="1">
      <x:c r="A60" s="916" t="s">
        <x:v>593</x:v>
      </x:c>
      <x:c r="B60" s="1210"/>
      <x:c r="C60" s="1210"/>
      <x:c r="D60" s="1210"/>
      <x:c r="E60" s="1210"/>
      <x:c r="F60" s="1210"/>
      <x:c r="G60" s="1210"/>
      <x:c r="H60" s="1210"/>
      <x:c r="I60" s="1210"/>
      <x:c r="J60" s="1210"/>
      <x:c r="K60" s="1210"/>
      <x:c r="L60" s="918"/>
      <x:c r="M60" s="918"/>
      <x:c r="N60" s="918"/>
      <x:c r="O60" s="918"/>
      <x:c r="P60" s="918"/>
      <x:c r="Q60" s="918"/>
      <x:c r="R60" s="918"/>
    </x:row>
    <x:row r="61" ht="16.5" customHeight="1">
      <x:c r="A61" s="1174"/>
      <x:c r="B61" s="1154"/>
      <x:c r="C61" s="1154"/>
      <x:c r="D61" s="1154"/>
      <x:c r="E61" s="1154"/>
      <x:c r="F61" s="1154"/>
      <x:c r="G61" s="1154"/>
      <x:c r="H61" s="1154"/>
      <x:c r="I61" s="1154"/>
      <x:c r="J61" s="1154"/>
      <x:c r="K61" s="1154"/>
      <x:c r="L61" s="861"/>
      <x:c r="M61" s="861"/>
      <x:c r="N61" s="861"/>
      <x:c r="O61" s="861"/>
      <x:c r="P61" s="861"/>
      <x:c r="Q61" s="861"/>
      <x:c r="R61" s="1155"/>
    </x:row>
    <x:row r="62" ht="22.5" customHeight="1">
      <x:c r="A62" s="1156" t="s">
        <x:v>340</x:v>
      </x:c>
      <x:c r="B62" s="1163"/>
      <x:c r="C62" s="1154"/>
      <x:c r="D62" s="1154"/>
      <x:c r="E62" s="1154"/>
      <x:c r="F62" s="1154"/>
      <x:c r="G62" s="1154"/>
      <x:c r="H62" s="1154"/>
      <x:c r="I62" s="1154"/>
      <x:c r="J62" s="1154"/>
      <x:c r="K62" s="1154"/>
      <x:c r="L62" s="1154"/>
      <x:c r="M62" s="1154"/>
      <x:c r="N62" s="1154"/>
      <x:c r="O62" s="1176" t="s">
        <x:v>554</x:v>
      </x:c>
      <x:c r="P62" s="1154"/>
      <x:c r="Q62" s="1154"/>
      <x:c r="R62" s="1177"/>
    </x:row>
    <x:row r="63" ht="19.5" customHeight="1">
      <x:c r="A63" s="1178"/>
      <x:c r="B63" s="1154"/>
      <x:c r="C63" s="1154"/>
      <x:c r="D63" s="1154"/>
      <x:c r="E63" s="1154"/>
      <x:c r="F63" s="1154"/>
      <x:c r="G63" s="1154"/>
      <x:c r="H63" s="1154"/>
      <x:c r="I63" s="1154"/>
      <x:c r="J63" s="1154"/>
      <x:c r="K63" s="1154"/>
      <x:c r="L63" s="1154"/>
      <x:c r="M63" s="1154"/>
      <x:c r="N63" s="1154"/>
      <x:c r="O63" s="1154"/>
      <x:c r="P63" s="1154"/>
      <x:c r="Q63" s="1154"/>
      <x:c r="R63" s="1177"/>
    </x:row>
    <x:row r="64" ht="18" customHeight="1">
      <x:c r="A64" s="1164" t="s">
        <x:v>556</x:v>
      </x:c>
      <x:c r="B64" s="1157" t="s">
        <x:v>594</x:v>
      </x:c>
      <x:c r="C64" s="1158"/>
      <x:c r="D64" s="1158"/>
      <x:c r="E64" s="1157" t="s">
        <x:v>486</x:v>
      </x:c>
      <x:c r="F64" s="1158"/>
      <x:c r="G64" s="1158"/>
      <x:c r="H64" s="1157" t="s">
        <x:v>510</x:v>
      </x:c>
      <x:c r="I64" s="1158"/>
      <x:c r="J64" s="1158"/>
      <x:c r="K64" s="1157" t="s">
        <x:v>595</x:v>
      </x:c>
      <x:c r="L64" s="1158"/>
      <x:c r="M64" s="1158"/>
      <x:c r="N64" s="1157" t="s">
        <x:v>489</x:v>
      </x:c>
      <x:c r="O64" s="1158"/>
      <x:c r="P64" s="1158"/>
      <x:c r="Q64" s="1154"/>
      <x:c r="R64" s="1177"/>
    </x:row>
    <x:row r="65" ht="84" customHeight="1">
      <x:c r="A65" s="900"/>
      <x:c r="B65" s="932" t="s">
        <x:v>558</x:v>
      </x:c>
      <x:c r="C65" s="932" t="s">
        <x:v>559</x:v>
      </x:c>
      <x:c r="D65" s="932" t="s">
        <x:v>560</x:v>
      </x:c>
      <x:c r="E65" s="932" t="s">
        <x:v>558</x:v>
      </x:c>
      <x:c r="F65" s="932" t="s">
        <x:v>559</x:v>
      </x:c>
      <x:c r="G65" s="932" t="s">
        <x:v>560</x:v>
      </x:c>
      <x:c r="H65" s="932" t="s">
        <x:v>558</x:v>
      </x:c>
      <x:c r="I65" s="932" t="s">
        <x:v>559</x:v>
      </x:c>
      <x:c r="J65" s="932" t="s">
        <x:v>560</x:v>
      </x:c>
      <x:c r="K65" s="932" t="s">
        <x:v>558</x:v>
      </x:c>
      <x:c r="L65" s="932" t="s">
        <x:v>559</x:v>
      </x:c>
      <x:c r="M65" s="932" t="s">
        <x:v>560</x:v>
      </x:c>
      <x:c r="N65" s="932" t="s">
        <x:v>558</x:v>
      </x:c>
      <x:c r="O65" s="932" t="s">
        <x:v>559</x:v>
      </x:c>
      <x:c r="P65" s="932" t="s">
        <x:v>560</x:v>
      </x:c>
      <x:c r="Q65" s="932" t="s">
        <x:v>596</x:v>
      </x:c>
      <x:c r="R65" s="932" t="s">
        <x:v>597</x:v>
      </x:c>
    </x:row>
    <x:row r="66" ht="16.5" customHeight="1">
      <x:c r="A66" s="1232" t="s">
        <x:v>373</x:v>
      </x:c>
      <x:c r="B66" s="1248">
        <x:v>1846</x:v>
      </x:c>
      <x:c r="C66" s="1248">
        <x:v>6030</x:v>
      </x:c>
      <x:c r="D66" s="1248">
        <x:v>7876</x:v>
      </x:c>
      <x:c r="E66" s="1248">
        <x:v>1920</x:v>
      </x:c>
      <x:c r="F66" s="1248">
        <x:v>6016</x:v>
      </x:c>
      <x:c r="G66" s="1248">
        <x:v>7936</x:v>
      </x:c>
      <x:c r="H66" s="1248">
        <x:v>1687</x:v>
      </x:c>
      <x:c r="I66" s="1248">
        <x:v>6266</x:v>
      </x:c>
      <x:c r="J66" s="1248">
        <x:v>7953</x:v>
      </x:c>
      <x:c r="K66" s="1248">
        <x:v>1639</x:v>
      </x:c>
      <x:c r="L66" s="1248">
        <x:v>5831</x:v>
      </x:c>
      <x:c r="M66" s="1248">
        <x:v>7470</x:v>
      </x:c>
      <x:c r="N66" s="1248">
        <x:v>1598</x:v>
      </x:c>
      <x:c r="O66" s="1248">
        <x:v>5623</x:v>
      </x:c>
      <x:c r="P66" s="1248">
        <x:v>7221</x:v>
      </x:c>
      <x:c r="Q66" s="1249">
        <x:v>0.22129898905968701</x:v>
      </x:c>
      <x:c r="R66" s="1249">
        <x:v>0.77870101094031297</x:v>
      </x:c>
    </x:row>
    <x:row r="67" ht="16.5" customHeight="1">
      <x:c r="A67" s="1232" t="s">
        <x:v>563</x:v>
      </x:c>
      <x:c r="B67" s="900">
        <x:v>1122</x:v>
      </x:c>
      <x:c r="C67" s="1248">
        <x:v>2444</x:v>
      </x:c>
      <x:c r="D67" s="1248">
        <x:v>3566</x:v>
      </x:c>
      <x:c r="E67" s="900">
        <x:v>1197</x:v>
      </x:c>
      <x:c r="F67" s="1248">
        <x:v>2753</x:v>
      </x:c>
      <x:c r="G67" s="1248">
        <x:v>3950</x:v>
      </x:c>
      <x:c r="H67" s="900">
        <x:v>1185</x:v>
      </x:c>
      <x:c r="I67" s="1248">
        <x:v>2689</x:v>
      </x:c>
      <x:c r="J67" s="1248">
        <x:v>3874</x:v>
      </x:c>
      <x:c r="K67" s="900">
        <x:v>1329</x:v>
      </x:c>
      <x:c r="L67" s="1248">
        <x:v>2746</x:v>
      </x:c>
      <x:c r="M67" s="1248">
        <x:v>4075</x:v>
      </x:c>
      <x:c r="N67" s="1248">
        <x:v>1458</x:v>
      </x:c>
      <x:c r="O67" s="1248">
        <x:v>2870</x:v>
      </x:c>
      <x:c r="P67" s="1248">
        <x:v>4328</x:v>
      </x:c>
      <x:c r="Q67" s="1249">
        <x:v>0.336876155268022</x:v>
      </x:c>
      <x:c r="R67" s="1249">
        <x:v>0.66312384473197805</x:v>
      </x:c>
    </x:row>
    <x:row r="68" ht="16.5" customHeight="1">
      <x:c r="A68" s="1232" t="s">
        <x:v>564</x:v>
      </x:c>
      <x:c r="B68" s="900">
        <x:v>155</x:v>
      </x:c>
      <x:c r="C68" s="1248">
        <x:v>1226</x:v>
      </x:c>
      <x:c r="D68" s="1248">
        <x:v>1381</x:v>
      </x:c>
      <x:c r="E68" s="900">
        <x:v>175</x:v>
      </x:c>
      <x:c r="F68" s="1248">
        <x:v>1205</x:v>
      </x:c>
      <x:c r="G68" s="1248">
        <x:v>1380</x:v>
      </x:c>
      <x:c r="H68" s="900">
        <x:v>140</x:v>
      </x:c>
      <x:c r="I68" s="1248">
        <x:v>1220</x:v>
      </x:c>
      <x:c r="J68" s="1248">
        <x:v>1360</x:v>
      </x:c>
      <x:c r="K68" s="900">
        <x:v>219</x:v>
      </x:c>
      <x:c r="L68" s="1248">
        <x:v>1399</x:v>
      </x:c>
      <x:c r="M68" s="1248">
        <x:v>1618</x:v>
      </x:c>
      <x:c r="N68" s="900">
        <x:v>165</x:v>
      </x:c>
      <x:c r="O68" s="1248">
        <x:v>1481</x:v>
      </x:c>
      <x:c r="P68" s="1248">
        <x:v>1646</x:v>
      </x:c>
      <x:c r="Q68" s="1249">
        <x:v>0.100243013365735</x:v>
      </x:c>
      <x:c r="R68" s="1249">
        <x:v>0.89975698663426495</x:v>
      </x:c>
    </x:row>
    <x:row r="69" ht="16.5" customHeight="1">
      <x:c r="A69" s="1232" t="s">
        <x:v>565</x:v>
      </x:c>
      <x:c r="B69" s="900">
        <x:v>512</x:v>
      </x:c>
      <x:c r="C69" s="900">
        <x:v>3</x:v>
      </x:c>
      <x:c r="D69" s="900">
        <x:v>515</x:v>
      </x:c>
      <x:c r="E69" s="900">
        <x:v>607</x:v>
      </x:c>
      <x:c r="F69" s="900">
        <x:v>6</x:v>
      </x:c>
      <x:c r="G69" s="900">
        <x:v>613</x:v>
      </x:c>
      <x:c r="H69" s="900">
        <x:v>532</x:v>
      </x:c>
      <x:c r="I69" s="900">
        <x:v>2</x:v>
      </x:c>
      <x:c r="J69" s="900">
        <x:v>534</x:v>
      </x:c>
      <x:c r="K69" s="900">
        <x:v>609</x:v>
      </x:c>
      <x:c r="L69" s="900">
        <x:v>6</x:v>
      </x:c>
      <x:c r="M69" s="900">
        <x:v>615</x:v>
      </x:c>
      <x:c r="N69" s="900">
        <x:v>597</x:v>
      </x:c>
      <x:c r="O69" s="900">
        <x:v>0</x:v>
      </x:c>
      <x:c r="P69" s="1248">
        <x:v>597</x:v>
      </x:c>
      <x:c r="Q69" s="1249">
        <x:v>1</x:v>
      </x:c>
      <x:c r="R69" s="1249">
        <x:v>0</x:v>
      </x:c>
    </x:row>
    <x:row r="70" ht="16.5" customHeight="1">
      <x:c r="A70" s="1232" t="s">
        <x:v>566</x:v>
      </x:c>
      <x:c r="B70" s="900">
        <x:v>363</x:v>
      </x:c>
      <x:c r="C70" s="900">
        <x:v>2</x:v>
      </x:c>
      <x:c r="D70" s="900">
        <x:v>365</x:v>
      </x:c>
      <x:c r="E70" s="900">
        <x:v>436</x:v>
      </x:c>
      <x:c r="F70" s="900">
        <x:v>4</x:v>
      </x:c>
      <x:c r="G70" s="900">
        <x:v>440</x:v>
      </x:c>
      <x:c r="H70" s="900">
        <x:v>466</x:v>
      </x:c>
      <x:c r="I70" s="900">
        <x:v>4</x:v>
      </x:c>
      <x:c r="J70" s="900">
        <x:v>470</x:v>
      </x:c>
      <x:c r="K70" s="900">
        <x:v>371</x:v>
      </x:c>
      <x:c r="L70" s="900">
        <x:v>0</x:v>
      </x:c>
      <x:c r="M70" s="900">
        <x:v>371</x:v>
      </x:c>
      <x:c r="N70" s="900">
        <x:v>363</x:v>
      </x:c>
      <x:c r="O70" s="900">
        <x:v>3</x:v>
      </x:c>
      <x:c r="P70" s="1248">
        <x:v>366</x:v>
      </x:c>
      <x:c r="Q70" s="1249">
        <x:v>0.99180327868852503</x:v>
      </x:c>
      <x:c r="R70" s="1249">
        <x:v>8.1967213114754103E-3</x:v>
      </x:c>
    </x:row>
    <x:row r="71" ht="16.5" customHeight="1">
      <x:c r="A71" s="1232" t="s">
        <x:v>567</x:v>
      </x:c>
      <x:c r="B71" s="900">
        <x:v>277</x:v>
      </x:c>
      <x:c r="C71" s="900">
        <x:v>0</x:v>
      </x:c>
      <x:c r="D71" s="900">
        <x:v>277</x:v>
      </x:c>
      <x:c r="E71" s="900">
        <x:v>265</x:v>
      </x:c>
      <x:c r="F71" s="900">
        <x:v>4</x:v>
      </x:c>
      <x:c r="G71" s="900">
        <x:v>269</x:v>
      </x:c>
      <x:c r="H71" s="900">
        <x:v>300</x:v>
      </x:c>
      <x:c r="I71" s="900">
        <x:v>0</x:v>
      </x:c>
      <x:c r="J71" s="900">
        <x:v>300</x:v>
      </x:c>
      <x:c r="K71" s="900">
        <x:v>253</x:v>
      </x:c>
      <x:c r="L71" s="900">
        <x:v>1</x:v>
      </x:c>
      <x:c r="M71" s="900">
        <x:v>254</x:v>
      </x:c>
      <x:c r="N71" s="900">
        <x:v>293</x:v>
      </x:c>
      <x:c r="O71" s="900">
        <x:v>2</x:v>
      </x:c>
      <x:c r="P71" s="1248">
        <x:v>295</x:v>
      </x:c>
      <x:c r="Q71" s="1249">
        <x:v>0.99322033898305095</x:v>
      </x:c>
      <x:c r="R71" s="1249">
        <x:v>6.7796610169491497E-3</x:v>
      </x:c>
    </x:row>
    <x:row r="72" ht="16.5" customHeight="1">
      <x:c r="A72" s="1232" t="s">
        <x:v>569</x:v>
      </x:c>
      <x:c r="B72" s="900">
        <x:v>109</x:v>
      </x:c>
      <x:c r="C72" s="900">
        <x:v>87</x:v>
      </x:c>
      <x:c r="D72" s="900">
        <x:v>196</x:v>
      </x:c>
      <x:c r="E72" s="900">
        <x:v>116</x:v>
      </x:c>
      <x:c r="F72" s="900">
        <x:v>92</x:v>
      </x:c>
      <x:c r="G72" s="900">
        <x:v>208</x:v>
      </x:c>
      <x:c r="H72" s="900">
        <x:v>112</x:v>
      </x:c>
      <x:c r="I72" s="900">
        <x:v>103</x:v>
      </x:c>
      <x:c r="J72" s="900">
        <x:v>215</x:v>
      </x:c>
      <x:c r="K72" s="900">
        <x:v>131</x:v>
      </x:c>
      <x:c r="L72" s="900">
        <x:v>105</x:v>
      </x:c>
      <x:c r="M72" s="900">
        <x:v>236</x:v>
      </x:c>
      <x:c r="N72" s="900">
        <x:v>93</x:v>
      </x:c>
      <x:c r="O72" s="900">
        <x:v>80</x:v>
      </x:c>
      <x:c r="P72" s="1248">
        <x:v>173</x:v>
      </x:c>
      <x:c r="Q72" s="1249">
        <x:v>0.53757225433526001</x:v>
      </x:c>
      <x:c r="R72" s="1249">
        <x:v>0.46242774566473999</x:v>
      </x:c>
    </x:row>
    <x:row r="73" ht="16.5" customHeight="1">
      <x:c r="A73" s="1232" t="s">
        <x:v>568</x:v>
      </x:c>
      <x:c r="B73" s="900">
        <x:v>30</x:v>
      </x:c>
      <x:c r="C73" s="900">
        <x:v>202</x:v>
      </x:c>
      <x:c r="D73" s="900">
        <x:v>232</x:v>
      </x:c>
      <x:c r="E73" s="900">
        <x:v>56</x:v>
      </x:c>
      <x:c r="F73" s="900">
        <x:v>165</x:v>
      </x:c>
      <x:c r="G73" s="900">
        <x:v>221</x:v>
      </x:c>
      <x:c r="H73" s="900">
        <x:v>36</x:v>
      </x:c>
      <x:c r="I73" s="900">
        <x:v>192</x:v>
      </x:c>
      <x:c r="J73" s="900">
        <x:v>228</x:v>
      </x:c>
      <x:c r="K73" s="900">
        <x:v>40</x:v>
      </x:c>
      <x:c r="L73" s="900">
        <x:v>120</x:v>
      </x:c>
      <x:c r="M73" s="900">
        <x:v>160</x:v>
      </x:c>
      <x:c r="N73" s="900">
        <x:v>36</x:v>
      </x:c>
      <x:c r="O73" s="900">
        <x:v>162</x:v>
      </x:c>
      <x:c r="P73" s="1248">
        <x:v>198</x:v>
      </x:c>
      <x:c r="Q73" s="1249">
        <x:v>0.18181818181818199</x:v>
      </x:c>
      <x:c r="R73" s="1249">
        <x:v>0.81818181818181801</x:v>
      </x:c>
    </x:row>
    <x:row r="74" ht="18" customHeight="1">
      <x:c r="A74" s="932" t="s">
        <x:v>570</x:v>
      </x:c>
      <x:c r="B74" s="1248">
        <x:v>4414</x:v>
      </x:c>
      <x:c r="C74" s="1248">
        <x:v>9994</x:v>
      </x:c>
      <x:c r="D74" s="1248">
        <x:v>14408</x:v>
      </x:c>
      <x:c r="E74" s="1248">
        <x:v>4772</x:v>
      </x:c>
      <x:c r="F74" s="1248">
        <x:v>10245</x:v>
      </x:c>
      <x:c r="G74" s="1248">
        <x:v>15017</x:v>
      </x:c>
      <x:c r="H74" s="1248">
        <x:v>4458</x:v>
      </x:c>
      <x:c r="I74" s="1248">
        <x:v>10476</x:v>
      </x:c>
      <x:c r="J74" s="1248">
        <x:v>14934</x:v>
      </x:c>
      <x:c r="K74" s="1248">
        <x:v>4591</x:v>
      </x:c>
      <x:c r="L74" s="1248">
        <x:v>10208</x:v>
      </x:c>
      <x:c r="M74" s="1248">
        <x:v>14799</x:v>
      </x:c>
      <x:c r="N74" s="1248">
        <x:v>4603</x:v>
      </x:c>
      <x:c r="O74" s="1248">
        <x:v>10221</x:v>
      </x:c>
      <x:c r="P74" s="1248">
        <x:v>14824</x:v>
      </x:c>
      <x:c r="Q74" s="1249">
        <x:v>0.31050998381003803</x:v>
      </x:c>
      <x:c r="R74" s="1249">
        <x:v>0.68949001618996197</x:v>
      </x:c>
    </x:row>
    <x:row r="75" ht="16.5" customHeight="1">
      <x:c r="A75" s="916" t="s">
        <x:v>598</x:v>
      </x:c>
      <x:c r="B75" s="1210"/>
      <x:c r="C75" s="1210"/>
      <x:c r="D75" s="1210"/>
      <x:c r="E75" s="1210"/>
      <x:c r="F75" s="1210"/>
      <x:c r="G75" s="1210"/>
      <x:c r="H75" s="1210"/>
      <x:c r="I75" s="1210"/>
      <x:c r="J75" s="1210"/>
      <x:c r="K75" s="1210"/>
      <x:c r="L75" s="1210"/>
      <x:c r="M75" s="1210"/>
      <x:c r="N75" s="1210"/>
      <x:c r="O75" s="1210"/>
      <x:c r="P75" s="1210"/>
      <x:c r="Q75" s="1210"/>
      <x:c r="R75" s="1210"/>
    </x:row>
    <x:row r="76" ht="16.5" customHeight="1">
      <x:c r="A76" s="916" t="s">
        <x:v>599</x:v>
      </x:c>
      <x:c r="B76" s="1210"/>
      <x:c r="C76" s="1210"/>
      <x:c r="D76" s="1210"/>
      <x:c r="E76" s="1210"/>
      <x:c r="F76" s="1210"/>
      <x:c r="G76" s="1210"/>
      <x:c r="H76" s="1210"/>
      <x:c r="I76" s="1210"/>
      <x:c r="J76" s="1210"/>
      <x:c r="K76" s="1210"/>
      <x:c r="L76" s="1210"/>
      <x:c r="M76" s="1210"/>
      <x:c r="N76" s="1210"/>
      <x:c r="O76" s="1210"/>
      <x:c r="P76" s="1210"/>
      <x:c r="Q76" s="1210"/>
      <x:c r="R76" s="1210"/>
    </x:row>
    <x:row r="77" ht="16.5" customHeight="1">
      <x:c r="A77" s="1174"/>
      <x:c r="B77" s="1175"/>
      <x:c r="C77" s="1163"/>
      <x:c r="D77" s="1154"/>
      <x:c r="E77" s="1154"/>
      <x:c r="F77" s="1154"/>
      <x:c r="G77" s="1154"/>
      <x:c r="H77" s="1154"/>
      <x:c r="I77" s="1154"/>
      <x:c r="J77" s="1154"/>
      <x:c r="K77" s="1154"/>
      <x:c r="L77" s="1154"/>
      <x:c r="M77" s="1154"/>
      <x:c r="N77" s="1154"/>
      <x:c r="O77" s="1154"/>
      <x:c r="P77" s="1154"/>
      <x:c r="Q77" s="1154"/>
      <x:c r="R77" s="1177"/>
    </x:row>
    <x:row r="78" ht="16.5" customHeight="1">
      <x:c r="A78" s="1181"/>
      <x:c r="B78" s="1163"/>
      <x:c r="C78" s="1163"/>
      <x:c r="D78" s="1154"/>
      <x:c r="E78" s="1154"/>
      <x:c r="F78" s="1154"/>
      <x:c r="G78" s="1154"/>
      <x:c r="H78" s="1154"/>
      <x:c r="I78" s="1154"/>
      <x:c r="J78" s="1154"/>
      <x:c r="K78" s="1154"/>
      <x:c r="L78" s="1154"/>
      <x:c r="M78" s="1154"/>
      <x:c r="N78" s="1154"/>
      <x:c r="O78" s="1154"/>
      <x:c r="P78" s="1154"/>
      <x:c r="Q78" s="1154"/>
      <x:c r="R78" s="1177"/>
    </x:row>
    <x:row r="79" ht="54" customHeight="1">
      <x:c r="A79" s="1170" t="s">
        <x:v>572</x:v>
      </x:c>
      <x:c r="B79" s="1157" t="s">
        <x:v>594</x:v>
      </x:c>
      <x:c r="C79" s="1157" t="s">
        <x:v>486</x:v>
      </x:c>
      <x:c r="D79" s="1157" t="s">
        <x:v>510</x:v>
      </x:c>
      <x:c r="E79" s="1157" t="s">
        <x:v>488</x:v>
      </x:c>
      <x:c r="F79" s="1157" t="s">
        <x:v>489</x:v>
      </x:c>
      <x:c r="G79" s="1154"/>
      <x:c r="H79" s="1154"/>
      <x:c r="I79" s="1154"/>
      <x:c r="J79" s="1154"/>
      <x:c r="K79" s="1154"/>
      <x:c r="L79" s="1154"/>
      <x:c r="M79" s="1154"/>
      <x:c r="N79" s="1154"/>
      <x:c r="O79" s="1154"/>
      <x:c r="P79" s="1154"/>
      <x:c r="Q79" s="1154"/>
      <x:c r="R79" s="1177"/>
    </x:row>
    <x:row r="80" ht="16.5" customHeight="1">
      <x:c r="A80" s="1171" t="s">
        <x:v>573</x:v>
      </x:c>
      <x:c r="B80" s="1172">
        <x:v>8</x:v>
      </x:c>
      <x:c r="C80" s="1172">
        <x:v>8.1</x:v>
      </x:c>
      <x:c r="D80" s="1172">
        <x:v>8.1</x:v>
      </x:c>
      <x:c r="E80" s="1172">
        <x:v>8.1999999999999993</x:v>
      </x:c>
      <x:c r="F80" s="1172">
        <x:v>8</x:v>
      </x:c>
      <x:c r="G80" s="1154"/>
      <x:c r="H80" s="1154"/>
      <x:c r="I80" s="1154"/>
      <x:c r="J80" s="1154"/>
      <x:c r="K80" s="1154"/>
      <x:c r="L80" s="1154"/>
      <x:c r="M80" s="1154"/>
      <x:c r="N80" s="1154"/>
      <x:c r="O80" s="1154"/>
      <x:c r="P80" s="1154"/>
      <x:c r="Q80" s="1154"/>
      <x:c r="R80" s="1177"/>
    </x:row>
    <x:row r="81" ht="16.5" customHeight="1">
      <x:c r="A81" s="916" t="s">
        <x:v>600</x:v>
      </x:c>
      <x:c r="B81" s="1210"/>
      <x:c r="C81" s="1210"/>
      <x:c r="D81" s="1210"/>
      <x:c r="E81" s="1210"/>
      <x:c r="F81" s="1210"/>
      <x:c r="G81" s="918"/>
      <x:c r="H81" s="918"/>
      <x:c r="I81" s="918"/>
      <x:c r="J81" s="918"/>
      <x:c r="K81" s="918"/>
      <x:c r="L81" s="918"/>
      <x:c r="M81" s="918"/>
      <x:c r="N81" s="918"/>
      <x:c r="O81" s="918"/>
      <x:c r="P81" s="918"/>
      <x:c r="Q81" s="918"/>
      <x:c r="R81" s="918"/>
    </x:row>
    <x:row r="82" ht="16.5" customHeight="1">
      <x:c r="A82" s="1174"/>
      <x:c r="B82" s="1175"/>
      <x:c r="C82" s="1163"/>
      <x:c r="D82" s="1154"/>
      <x:c r="E82" s="1154"/>
      <x:c r="F82" s="1154"/>
      <x:c r="G82" s="861"/>
      <x:c r="H82" s="861"/>
      <x:c r="I82" s="861"/>
      <x:c r="J82" s="861"/>
      <x:c r="K82" s="861"/>
      <x:c r="L82" s="861"/>
      <x:c r="M82" s="861"/>
      <x:c r="N82" s="861"/>
      <x:c r="O82" s="861"/>
      <x:c r="P82" s="861"/>
      <x:c r="Q82" s="861"/>
      <x:c r="R82" s="1155"/>
    </x:row>
    <x:row r="83" ht="16.5" customHeight="1">
      <x:c r="A83" s="1181"/>
      <x:c r="B83" s="1163"/>
      <x:c r="C83" s="1163"/>
      <x:c r="D83" s="1154"/>
      <x:c r="E83" s="1154"/>
      <x:c r="F83" s="1154"/>
      <x:c r="G83" s="861"/>
      <x:c r="H83" s="861"/>
      <x:c r="I83" s="861"/>
      <x:c r="J83" s="861"/>
      <x:c r="K83" s="861"/>
      <x:c r="L83" s="861"/>
      <x:c r="M83" s="861"/>
      <x:c r="N83" s="861"/>
      <x:c r="O83" s="861"/>
      <x:c r="P83" s="861"/>
      <x:c r="Q83" s="861"/>
      <x:c r="R83" s="1155"/>
    </x:row>
    <x:row r="84" ht="18" customHeight="1">
      <x:c r="A84" s="1170" t="s">
        <x:v>601</x:v>
      </x:c>
      <x:c r="B84" s="1154"/>
      <x:c r="C84" s="1154"/>
      <x:c r="D84" s="1154"/>
      <x:c r="E84" s="1154"/>
      <x:c r="F84" s="1154"/>
      <x:c r="G84" s="861"/>
      <x:c r="H84" s="861"/>
      <x:c r="I84" s="861"/>
      <x:c r="J84" s="861"/>
      <x:c r="K84" s="861"/>
      <x:c r="L84" s="861"/>
      <x:c r="M84" s="861"/>
      <x:c r="N84" s="861"/>
      <x:c r="O84" s="861"/>
      <x:c r="P84" s="861"/>
      <x:c r="Q84" s="861"/>
      <x:c r="R84" s="1155"/>
    </x:row>
    <x:row r="85" ht="50.25" customHeight="1">
      <x:c r="A85" s="1232" t="s">
        <x:v>602</x:v>
      </x:c>
      <x:c r="B85" s="932" t="s">
        <x:v>594</x:v>
      </x:c>
      <x:c r="C85" s="932" t="s">
        <x:v>486</x:v>
      </x:c>
      <x:c r="D85" s="932" t="s">
        <x:v>510</x:v>
      </x:c>
      <x:c r="E85" s="932" t="s">
        <x:v>488</x:v>
      </x:c>
      <x:c r="F85" s="932" t="s">
        <x:v>489</x:v>
      </x:c>
      <x:c r="G85" s="918"/>
      <x:c r="H85" s="918"/>
      <x:c r="I85" s="918"/>
      <x:c r="J85" s="918"/>
      <x:c r="K85" s="918"/>
      <x:c r="L85" s="918"/>
      <x:c r="M85" s="918"/>
      <x:c r="N85" s="918"/>
      <x:c r="O85" s="918"/>
      <x:c r="P85" s="918"/>
      <x:c r="Q85" s="918"/>
      <x:c r="R85" s="918"/>
    </x:row>
    <x:row r="86" ht="16.5" customHeight="1">
      <x:c r="A86" s="1160" t="s">
        <x:v>581</x:v>
      </x:c>
      <x:c r="B86" s="1172">
        <x:v>6.1</x:v>
      </x:c>
      <x:c r="C86" s="1172">
        <x:v>6.4</x:v>
      </x:c>
      <x:c r="D86" s="1172">
        <x:v>6.6</x:v>
      </x:c>
      <x:c r="E86" s="1172">
        <x:v>6.3</x:v>
      </x:c>
      <x:c r="F86" s="1172">
        <x:v>6.7</x:v>
      </x:c>
      <x:c r="G86" s="861"/>
      <x:c r="H86" s="861"/>
      <x:c r="I86" s="861"/>
      <x:c r="J86" s="861"/>
      <x:c r="K86" s="861"/>
      <x:c r="L86" s="861"/>
      <x:c r="M86" s="861"/>
      <x:c r="N86" s="861"/>
      <x:c r="O86" s="861"/>
      <x:c r="P86" s="861"/>
      <x:c r="Q86" s="861"/>
      <x:c r="R86" s="1155"/>
    </x:row>
    <x:row r="87" ht="16.5" customHeight="1">
      <x:c r="A87" s="1160" t="s">
        <x:v>582</x:v>
      </x:c>
      <x:c r="B87" s="1172">
        <x:v>9.6</x:v>
      </x:c>
      <x:c r="C87" s="1172">
        <x:v>8.3000000000000007</x:v>
      </x:c>
      <x:c r="D87" s="1172">
        <x:v>7.8</x:v>
      </x:c>
      <x:c r="E87" s="1172">
        <x:v>8.4</x:v>
      </x:c>
      <x:c r="F87" s="1172">
        <x:v>7.9</x:v>
      </x:c>
      <x:c r="G87" s="861"/>
      <x:c r="H87" s="861"/>
      <x:c r="I87" s="861"/>
      <x:c r="J87" s="861"/>
      <x:c r="K87" s="861"/>
      <x:c r="L87" s="861"/>
      <x:c r="M87" s="861"/>
      <x:c r="N87" s="861"/>
      <x:c r="O87" s="861"/>
      <x:c r="P87" s="861"/>
      <x:c r="Q87" s="861"/>
      <x:c r="R87" s="1155"/>
    </x:row>
    <x:row r="88" ht="16.5" customHeight="1">
      <x:c r="A88" s="1160" t="s">
        <x:v>583</x:v>
      </x:c>
      <x:c r="B88" s="1172">
        <x:v>8.6999999999999993</x:v>
      </x:c>
      <x:c r="C88" s="1172">
        <x:v>8.8000000000000007</x:v>
      </x:c>
      <x:c r="D88" s="1172">
        <x:v>8.6999999999999993</x:v>
      </x:c>
      <x:c r="E88" s="1172">
        <x:v>9</x:v>
      </x:c>
      <x:c r="F88" s="1172">
        <x:v>8.6</x:v>
      </x:c>
      <x:c r="G88" s="861"/>
      <x:c r="H88" s="861"/>
      <x:c r="I88" s="861"/>
      <x:c r="J88" s="861"/>
      <x:c r="K88" s="861"/>
      <x:c r="L88" s="861"/>
      <x:c r="M88" s="861"/>
      <x:c r="N88" s="861"/>
      <x:c r="O88" s="861"/>
      <x:c r="P88" s="861"/>
      <x:c r="Q88" s="861"/>
      <x:c r="R88" s="1155"/>
    </x:row>
    <x:row r="89" ht="16.5" customHeight="1">
      <x:c r="A89" s="916" t="s">
        <x:v>603</x:v>
      </x:c>
      <x:c r="B89" s="1259"/>
      <x:c r="C89" s="1259"/>
      <x:c r="D89" s="1210"/>
      <x:c r="E89" s="1210"/>
      <x:c r="F89" s="1210"/>
      <x:c r="G89" s="918"/>
      <x:c r="H89" s="918"/>
      <x:c r="I89" s="918"/>
      <x:c r="J89" s="918"/>
      <x:c r="K89" s="918"/>
      <x:c r="L89" s="918"/>
      <x:c r="M89" s="918"/>
      <x:c r="N89" s="918"/>
      <x:c r="O89" s="918"/>
      <x:c r="P89" s="918"/>
      <x:c r="Q89" s="918"/>
      <x:c r="R89" s="918"/>
    </x:row>
    <x:row r="90" ht="16.5" customHeight="1">
      <x:c r="A90" s="1174"/>
      <x:c r="B90" s="1175"/>
      <x:c r="C90" s="1163"/>
      <x:c r="D90" s="1154"/>
      <x:c r="E90" s="1154"/>
      <x:c r="F90" s="1154"/>
      <x:c r="G90" s="861"/>
      <x:c r="H90" s="861"/>
      <x:c r="I90" s="861"/>
      <x:c r="J90" s="861"/>
      <x:c r="K90" s="861"/>
      <x:c r="L90" s="861"/>
      <x:c r="M90" s="861"/>
      <x:c r="N90" s="861"/>
      <x:c r="O90" s="861"/>
      <x:c r="P90" s="861"/>
      <x:c r="Q90" s="861"/>
      <x:c r="R90" s="1155"/>
    </x:row>
    <x:row r="91" ht="16.5" customHeight="1">
      <x:c r="A91" s="1181"/>
      <x:c r="B91" s="1163"/>
      <x:c r="C91" s="1163"/>
      <x:c r="D91" s="1154"/>
      <x:c r="E91" s="1154"/>
      <x:c r="F91" s="1154"/>
      <x:c r="G91" s="861"/>
      <x:c r="H91" s="861"/>
      <x:c r="I91" s="861"/>
      <x:c r="J91" s="861"/>
      <x:c r="K91" s="861"/>
      <x:c r="L91" s="861"/>
      <x:c r="M91" s="861"/>
      <x:c r="N91" s="861"/>
      <x:c r="O91" s="861"/>
      <x:c r="P91" s="861"/>
      <x:c r="Q91" s="861"/>
      <x:c r="R91" s="1155"/>
    </x:row>
    <x:row r="92" ht="18" customHeight="1">
      <x:c r="A92" s="1170" t="s">
        <x:v>604</x:v>
      </x:c>
      <x:c r="B92" s="1163"/>
      <x:c r="C92" s="1154"/>
      <x:c r="D92" s="1154"/>
      <x:c r="E92" s="1154"/>
      <x:c r="F92" s="1154"/>
      <x:c r="G92" s="861"/>
      <x:c r="H92" s="861"/>
      <x:c r="I92" s="861"/>
      <x:c r="J92" s="861"/>
      <x:c r="K92" s="861"/>
      <x:c r="L92" s="861"/>
      <x:c r="M92" s="861"/>
      <x:c r="N92" s="861"/>
      <x:c r="O92" s="861"/>
      <x:c r="P92" s="861"/>
      <x:c r="Q92" s="861"/>
      <x:c r="R92" s="1155"/>
    </x:row>
    <x:row r="93" ht="50.25" customHeight="1">
      <x:c r="A93" s="1232" t="s">
        <x:v>605</x:v>
      </x:c>
      <x:c r="B93" s="932" t="s">
        <x:v>594</x:v>
      </x:c>
      <x:c r="C93" s="932" t="s">
        <x:v>486</x:v>
      </x:c>
      <x:c r="D93" s="932" t="s">
        <x:v>510</x:v>
      </x:c>
      <x:c r="E93" s="932" t="s">
        <x:v>488</x:v>
      </x:c>
      <x:c r="F93" s="932" t="s">
        <x:v>489</x:v>
      </x:c>
      <x:c r="G93" s="918"/>
      <x:c r="H93" s="918"/>
      <x:c r="I93" s="918"/>
      <x:c r="J93" s="918"/>
      <x:c r="K93" s="918"/>
      <x:c r="L93" s="918"/>
      <x:c r="M93" s="918"/>
      <x:c r="N93" s="918"/>
      <x:c r="O93" s="918"/>
      <x:c r="P93" s="918"/>
      <x:c r="Q93" s="918"/>
      <x:c r="R93" s="918"/>
    </x:row>
    <x:row r="94" ht="16.5" customHeight="1">
      <x:c r="A94" s="1160" t="s">
        <x:v>586</x:v>
      </x:c>
      <x:c r="B94" s="1172">
        <x:v>8.1999999999999993</x:v>
      </x:c>
      <x:c r="C94" s="1172">
        <x:v>7.6</x:v>
      </x:c>
      <x:c r="D94" s="1172">
        <x:v>7.7</x:v>
      </x:c>
      <x:c r="E94" s="1172">
        <x:v>7.8</x:v>
      </x:c>
      <x:c r="F94" s="1172">
        <x:v>7.6</x:v>
      </x:c>
      <x:c r="G94" s="861"/>
      <x:c r="H94" s="861"/>
      <x:c r="I94" s="861"/>
      <x:c r="J94" s="861"/>
      <x:c r="K94" s="861"/>
      <x:c r="L94" s="861"/>
      <x:c r="M94" s="861"/>
      <x:c r="N94" s="861"/>
      <x:c r="O94" s="861"/>
      <x:c r="P94" s="861"/>
      <x:c r="Q94" s="861"/>
      <x:c r="R94" s="1155"/>
    </x:row>
    <x:row r="95" ht="16.5" customHeight="1">
      <x:c r="A95" s="1160" t="s">
        <x:v>587</x:v>
      </x:c>
      <x:c r="B95" s="1172">
        <x:v>8.1999999999999993</x:v>
      </x:c>
      <x:c r="C95" s="1172">
        <x:v>8.5</x:v>
      </x:c>
      <x:c r="D95" s="1172">
        <x:v>8.1999999999999993</x:v>
      </x:c>
      <x:c r="E95" s="1172">
        <x:v>8.5</x:v>
      </x:c>
      <x:c r="F95" s="1172">
        <x:v>8.3000000000000007</x:v>
      </x:c>
      <x:c r="G95" s="861"/>
      <x:c r="H95" s="861"/>
      <x:c r="I95" s="861"/>
      <x:c r="J95" s="861"/>
      <x:c r="K95" s="861"/>
      <x:c r="L95" s="861"/>
      <x:c r="M95" s="861"/>
      <x:c r="N95" s="861"/>
      <x:c r="O95" s="861"/>
      <x:c r="P95" s="861"/>
      <x:c r="Q95" s="861"/>
      <x:c r="R95" s="1155"/>
    </x:row>
    <x:row r="96" ht="16.5" customHeight="1">
      <x:c r="A96" s="1160" t="s">
        <x:v>588</x:v>
      </x:c>
      <x:c r="B96" s="1172">
        <x:v>9.9</x:v>
      </x:c>
      <x:c r="C96" s="1172">
        <x:v>9.3000000000000007</x:v>
      </x:c>
      <x:c r="D96" s="1172">
        <x:v>10</x:v>
      </x:c>
      <x:c r="E96" s="1172">
        <x:v>10.6</x:v>
      </x:c>
      <x:c r="F96" s="1172">
        <x:v>8.1</x:v>
      </x:c>
      <x:c r="G96" s="861"/>
      <x:c r="H96" s="861"/>
      <x:c r="I96" s="861"/>
      <x:c r="J96" s="861"/>
      <x:c r="K96" s="861"/>
      <x:c r="L96" s="861"/>
      <x:c r="M96" s="861"/>
      <x:c r="N96" s="861"/>
      <x:c r="O96" s="861"/>
      <x:c r="P96" s="861"/>
      <x:c r="Q96" s="861"/>
      <x:c r="R96" s="1155"/>
    </x:row>
    <x:row r="97" ht="16.5" customHeight="1">
      <x:c r="A97" s="916" t="s">
        <x:v>606</x:v>
      </x:c>
      <x:c r="B97" s="1259"/>
      <x:c r="C97" s="1259"/>
      <x:c r="D97" s="1210"/>
      <x:c r="E97" s="1210"/>
      <x:c r="F97" s="1210"/>
      <x:c r="G97" s="1210"/>
      <x:c r="H97" s="1210"/>
      <x:c r="I97" s="1210"/>
      <x:c r="J97" s="1210"/>
      <x:c r="K97" s="1210"/>
      <x:c r="L97" s="1210"/>
      <x:c r="M97" s="1210"/>
      <x:c r="N97" s="1210"/>
      <x:c r="O97" s="1210"/>
      <x:c r="P97" s="1210"/>
      <x:c r="Q97" s="1210"/>
      <x:c r="R97" s="1210"/>
    </x:row>
    <x:row r="98" ht="16.5" customHeight="1">
      <x:c r="A98" s="1174"/>
      <x:c r="B98" s="1175"/>
      <x:c r="C98" s="1163"/>
      <x:c r="D98" s="1154"/>
      <x:c r="E98" s="1154"/>
      <x:c r="F98" s="1154"/>
      <x:c r="G98" s="1154"/>
      <x:c r="H98" s="1154"/>
      <x:c r="I98" s="1154"/>
      <x:c r="J98" s="1154"/>
      <x:c r="K98" s="1154"/>
      <x:c r="L98" s="1154"/>
      <x:c r="M98" s="1154"/>
      <x:c r="N98" s="1154"/>
      <x:c r="O98" s="1154"/>
      <x:c r="P98" s="1154"/>
      <x:c r="Q98" s="1154"/>
      <x:c r="R98" s="1177"/>
    </x:row>
    <x:row r="99" ht="16.5" customHeight="1">
      <x:c r="A99" s="1181"/>
      <x:c r="B99" s="1163"/>
      <x:c r="C99" s="1163"/>
      <x:c r="D99" s="1154"/>
      <x:c r="E99" s="1154"/>
      <x:c r="F99" s="1154"/>
      <x:c r="G99" s="1154"/>
      <x:c r="H99" s="1154"/>
      <x:c r="I99" s="1154"/>
      <x:c r="J99" s="1154"/>
      <x:c r="K99" s="1154"/>
      <x:c r="L99" s="1154"/>
      <x:c r="M99" s="1154"/>
      <x:c r="N99" s="1154"/>
      <x:c r="O99" s="1154"/>
      <x:c r="P99" s="1154"/>
      <x:c r="Q99" s="1154"/>
      <x:c r="R99" s="1177"/>
    </x:row>
    <x:row r="100" ht="54" customHeight="1">
      <x:c r="A100" s="1232" t="s">
        <x:v>607</x:v>
      </x:c>
      <x:c r="B100" s="932" t="s">
        <x:v>594</x:v>
      </x:c>
      <x:c r="C100" s="932" t="s">
        <x:v>486</x:v>
      </x:c>
      <x:c r="D100" s="932" t="s">
        <x:v>510</x:v>
      </x:c>
      <x:c r="E100" s="932" t="s">
        <x:v>488</x:v>
      </x:c>
      <x:c r="F100" s="932" t="s">
        <x:v>489</x:v>
      </x:c>
      <x:c r="G100" s="1210"/>
      <x:c r="H100" s="1210"/>
      <x:c r="I100" s="1210"/>
      <x:c r="J100" s="1210"/>
      <x:c r="K100" s="1210"/>
      <x:c r="L100" s="1210"/>
      <x:c r="M100" s="1210"/>
      <x:c r="N100" s="1210"/>
      <x:c r="O100" s="1210"/>
      <x:c r="P100" s="1210"/>
      <x:c r="Q100" s="1210"/>
      <x:c r="R100" s="1210"/>
    </x:row>
    <x:row r="101" ht="16.5" customHeight="1">
      <x:c r="A101" s="1160" t="s">
        <x:v>373</x:v>
      </x:c>
      <x:c r="B101" s="1172">
        <x:v>4.4000000000000004</x:v>
      </x:c>
      <x:c r="C101" s="1172">
        <x:v>4.3</x:v>
      </x:c>
      <x:c r="D101" s="1172">
        <x:v>4.3</x:v>
      </x:c>
      <x:c r="E101" s="1172">
        <x:v>4.2</x:v>
      </x:c>
      <x:c r="F101" s="1172">
        <x:v>3.9</x:v>
      </x:c>
      <x:c r="G101" s="1154"/>
      <x:c r="H101" s="1154"/>
      <x:c r="I101" s="1154"/>
      <x:c r="J101" s="1154"/>
      <x:c r="K101" s="1154"/>
      <x:c r="L101" s="1154"/>
      <x:c r="M101" s="1154"/>
      <x:c r="N101" s="1154"/>
      <x:c r="O101" s="1154"/>
      <x:c r="P101" s="1154"/>
      <x:c r="Q101" s="1154"/>
      <x:c r="R101" s="1177"/>
    </x:row>
    <x:row r="102" ht="16.5" customHeight="1">
      <x:c r="A102" s="1160" t="s">
        <x:v>577</x:v>
      </x:c>
      <x:c r="B102" s="1172">
        <x:v>2</x:v>
      </x:c>
      <x:c r="C102" s="1172">
        <x:v>2.1</x:v>
      </x:c>
      <x:c r="D102" s="1172">
        <x:v>2.1</x:v>
      </x:c>
      <x:c r="E102" s="1172">
        <x:v>2.2999999999999998</x:v>
      </x:c>
      <x:c r="F102" s="1172">
        <x:v>2.2999999999999998</x:v>
      </x:c>
      <x:c r="G102" s="1168"/>
      <x:c r="H102" s="1154"/>
      <x:c r="I102" s="1154"/>
      <x:c r="J102" s="1154"/>
      <x:c r="K102" s="1154"/>
      <x:c r="L102" s="1154"/>
      <x:c r="M102" s="1154"/>
      <x:c r="N102" s="1154"/>
      <x:c r="O102" s="1154"/>
      <x:c r="P102" s="1154"/>
      <x:c r="Q102" s="1154"/>
      <x:c r="R102" s="1177"/>
    </x:row>
    <x:row r="103" ht="16.5" customHeight="1">
      <x:c r="A103" s="1160" t="s">
        <x:v>564</x:v>
      </x:c>
      <x:c r="B103" s="1172">
        <x:v>0.8</x:v>
      </x:c>
      <x:c r="C103" s="1172">
        <x:v>0.7</x:v>
      </x:c>
      <x:c r="D103" s="1172">
        <x:v>0.7</x:v>
      </x:c>
      <x:c r="E103" s="1172">
        <x:v>0.9</x:v>
      </x:c>
      <x:c r="F103" s="1172">
        <x:v>0.9</x:v>
      </x:c>
      <x:c r="G103" s="1168"/>
      <x:c r="H103" s="1154"/>
      <x:c r="I103" s="1154"/>
      <x:c r="J103" s="1154"/>
      <x:c r="K103" s="1154"/>
      <x:c r="L103" s="1154"/>
      <x:c r="M103" s="1154"/>
      <x:c r="N103" s="1154"/>
      <x:c r="O103" s="1154"/>
      <x:c r="P103" s="1154"/>
      <x:c r="Q103" s="1154"/>
      <x:c r="R103" s="1177"/>
    </x:row>
    <x:row r="104" ht="16.5" customHeight="1">
      <x:c r="A104" s="1160" t="s">
        <x:v>578</x:v>
      </x:c>
      <x:c r="B104" s="1172">
        <x:v>0.3</x:v>
      </x:c>
      <x:c r="C104" s="1172">
        <x:v>0.3</x:v>
      </x:c>
      <x:c r="D104" s="1172">
        <x:v>0.3</x:v>
      </x:c>
      <x:c r="E104" s="1172">
        <x:v>0.3</x:v>
      </x:c>
      <x:c r="F104" s="1172">
        <x:v>0.3</x:v>
      </x:c>
      <x:c r="G104" s="1168"/>
      <x:c r="H104" s="1154"/>
      <x:c r="I104" s="1154"/>
      <x:c r="J104" s="1154"/>
      <x:c r="K104" s="1154"/>
      <x:c r="L104" s="1154"/>
      <x:c r="M104" s="1154"/>
      <x:c r="N104" s="1154"/>
      <x:c r="O104" s="1154"/>
      <x:c r="P104" s="1154"/>
      <x:c r="Q104" s="1154"/>
      <x:c r="R104" s="1177"/>
    </x:row>
    <x:row r="105" ht="16.5" customHeight="1">
      <x:c r="A105" s="1160" t="s">
        <x:v>566</x:v>
      </x:c>
      <x:c r="B105" s="1172">
        <x:v>0.2</x:v>
      </x:c>
      <x:c r="C105" s="1172">
        <x:v>0.2</x:v>
      </x:c>
      <x:c r="D105" s="1172">
        <x:v>0.3</x:v>
      </x:c>
      <x:c r="E105" s="1172">
        <x:v>0.2</x:v>
      </x:c>
      <x:c r="F105" s="1172">
        <x:v>0.2</x:v>
      </x:c>
      <x:c r="G105" s="1154"/>
      <x:c r="H105" s="1154"/>
      <x:c r="I105" s="1154"/>
      <x:c r="J105" s="1154"/>
      <x:c r="K105" s="1154"/>
      <x:c r="L105" s="1154"/>
      <x:c r="M105" s="1154"/>
      <x:c r="N105" s="1154"/>
      <x:c r="O105" s="1154"/>
      <x:c r="P105" s="1154"/>
      <x:c r="Q105" s="1154"/>
      <x:c r="R105" s="1177"/>
    </x:row>
    <x:row r="106" ht="16.5" customHeight="1">
      <x:c r="A106" s="1160" t="s">
        <x:v>567</x:v>
      </x:c>
      <x:c r="B106" s="1172">
        <x:v>0.2</x:v>
      </x:c>
      <x:c r="C106" s="1172">
        <x:v>0.1</x:v>
      </x:c>
      <x:c r="D106" s="1172">
        <x:v>0.2</x:v>
      </x:c>
      <x:c r="E106" s="1172">
        <x:v>0.1</x:v>
      </x:c>
      <x:c r="F106" s="1172">
        <x:v>0.2</x:v>
      </x:c>
      <x:c r="G106" s="1154"/>
      <x:c r="H106" s="1154"/>
      <x:c r="I106" s="1154"/>
      <x:c r="J106" s="1154"/>
      <x:c r="K106" s="1154"/>
      <x:c r="L106" s="1154"/>
      <x:c r="M106" s="1154"/>
      <x:c r="N106" s="1154"/>
      <x:c r="O106" s="1154"/>
      <x:c r="P106" s="1154"/>
      <x:c r="Q106" s="1154"/>
      <x:c r="R106" s="1177"/>
    </x:row>
    <x:row r="107" ht="16.5" customHeight="1">
      <x:c r="A107" s="1160" t="s">
        <x:v>569</x:v>
      </x:c>
      <x:c r="B107" s="1172">
        <x:v>0.1</x:v>
      </x:c>
      <x:c r="C107" s="1172">
        <x:v>0.1</x:v>
      </x:c>
      <x:c r="D107" s="1172">
        <x:v>0.1</x:v>
      </x:c>
      <x:c r="E107" s="1172">
        <x:v>0.1</x:v>
      </x:c>
      <x:c r="F107" s="1172">
        <x:v>0.1</x:v>
      </x:c>
      <x:c r="G107" s="1154"/>
      <x:c r="H107" s="1154"/>
      <x:c r="I107" s="1154"/>
      <x:c r="J107" s="1154"/>
      <x:c r="K107" s="1154"/>
      <x:c r="L107" s="1154"/>
      <x:c r="M107" s="1154"/>
      <x:c r="N107" s="1154"/>
      <x:c r="O107" s="1154"/>
      <x:c r="P107" s="1154"/>
      <x:c r="Q107" s="1154"/>
      <x:c r="R107" s="1177"/>
    </x:row>
    <x:row r="108" ht="16.5" customHeight="1">
      <x:c r="A108" s="1160" t="s">
        <x:v>568</x:v>
      </x:c>
      <x:c r="B108" s="1172">
        <x:v>0.1</x:v>
      </x:c>
      <x:c r="C108" s="1172">
        <x:v>0.1</x:v>
      </x:c>
      <x:c r="D108" s="1172">
        <x:v>0.1</x:v>
      </x:c>
      <x:c r="E108" s="1172">
        <x:v>0.1</x:v>
      </x:c>
      <x:c r="F108" s="1172">
        <x:v>0.1</x:v>
      </x:c>
      <x:c r="G108" s="1154"/>
      <x:c r="H108" s="1154"/>
      <x:c r="I108" s="1154"/>
      <x:c r="J108" s="1154"/>
      <x:c r="K108" s="1154"/>
      <x:c r="L108" s="1154"/>
      <x:c r="M108" s="1154"/>
      <x:c r="N108" s="1154"/>
      <x:c r="O108" s="1154"/>
      <x:c r="P108" s="1154"/>
      <x:c r="Q108" s="1154"/>
      <x:c r="R108" s="1177"/>
    </x:row>
    <x:row r="109" ht="16.5" customHeight="1">
      <x:c r="A109" s="916" t="s">
        <x:v>608</x:v>
      </x:c>
      <x:c r="B109" s="1210"/>
      <x:c r="C109" s="1210"/>
      <x:c r="D109" s="1210"/>
      <x:c r="E109" s="1210"/>
      <x:c r="F109" s="1210"/>
      <x:c r="G109" s="1210"/>
      <x:c r="H109" s="1210"/>
      <x:c r="I109" s="1210"/>
      <x:c r="J109" s="1210"/>
      <x:c r="K109" s="1210"/>
      <x:c r="L109" s="1210"/>
      <x:c r="M109" s="1210"/>
      <x:c r="N109" s="1210"/>
      <x:c r="O109" s="1210"/>
      <x:c r="P109" s="1210"/>
      <x:c r="Q109" s="1210"/>
      <x:c r="R109" s="1210"/>
    </x:row>
    <x:row r="110" ht="16.5" customHeight="1">
      <x:c r="A110" s="1174"/>
      <x:c r="B110" s="1175"/>
      <x:c r="C110" s="1163"/>
      <x:c r="D110" s="1154"/>
      <x:c r="E110" s="1154"/>
      <x:c r="F110" s="1154"/>
      <x:c r="G110" s="1154"/>
      <x:c r="H110" s="1154"/>
      <x:c r="I110" s="1154"/>
      <x:c r="J110" s="1154"/>
      <x:c r="K110" s="1154"/>
      <x:c r="L110" s="1154"/>
      <x:c r="M110" s="1154"/>
      <x:c r="N110" s="1154"/>
      <x:c r="O110" s="1154"/>
      <x:c r="P110" s="1154"/>
      <x:c r="Q110" s="1154"/>
      <x:c r="R110" s="1177"/>
    </x:row>
    <x:row r="111" ht="16.5" customHeight="1">
      <x:c r="A111" s="1181"/>
      <x:c r="B111" s="1163"/>
      <x:c r="C111" s="1163"/>
      <x:c r="D111" s="1154"/>
      <x:c r="E111" s="1154"/>
      <x:c r="F111" s="1154"/>
      <x:c r="G111" s="1154"/>
      <x:c r="H111" s="1154"/>
      <x:c r="I111" s="1154"/>
      <x:c r="J111" s="1154"/>
      <x:c r="K111" s="1154"/>
      <x:c r="L111" s="1154"/>
      <x:c r="M111" s="1154"/>
      <x:c r="N111" s="1154"/>
      <x:c r="O111" s="1154"/>
      <x:c r="P111" s="1154"/>
      <x:c r="Q111" s="1154"/>
      <x:c r="R111" s="1177"/>
    </x:row>
    <x:row r="112" ht="18" customHeight="1">
      <x:c r="A112" s="1164" t="s">
        <x:v>590</x:v>
      </x:c>
      <x:c r="B112" s="1157" t="s">
        <x:v>594</x:v>
      </x:c>
      <x:c r="C112" s="1158"/>
      <x:c r="D112" s="1158"/>
      <x:c r="E112" s="1157" t="s">
        <x:v>609</x:v>
      </x:c>
      <x:c r="F112" s="1158"/>
      <x:c r="G112" s="1158"/>
      <x:c r="H112" s="1157" t="s">
        <x:v>510</x:v>
      </x:c>
      <x:c r="I112" s="1158"/>
      <x:c r="J112" s="1158"/>
      <x:c r="K112" s="1157" t="s">
        <x:v>488</x:v>
      </x:c>
      <x:c r="L112" s="1158"/>
      <x:c r="M112" s="1158"/>
      <x:c r="N112" s="1157" t="s">
        <x:v>489</x:v>
      </x:c>
      <x:c r="O112" s="1158"/>
      <x:c r="P112" s="1158"/>
      <x:c r="Q112" s="1154"/>
      <x:c r="R112" s="1177"/>
    </x:row>
    <x:row r="113" ht="84" customHeight="1">
      <x:c r="A113" s="900"/>
      <x:c r="B113" s="932" t="s">
        <x:v>558</x:v>
      </x:c>
      <x:c r="C113" s="932" t="s">
        <x:v>559</x:v>
      </x:c>
      <x:c r="D113" s="932" t="s">
        <x:v>560</x:v>
      </x:c>
      <x:c r="E113" s="932" t="s">
        <x:v>558</x:v>
      </x:c>
      <x:c r="F113" s="932" t="s">
        <x:v>559</x:v>
      </x:c>
      <x:c r="G113" s="932" t="s">
        <x:v>560</x:v>
      </x:c>
      <x:c r="H113" s="932" t="s">
        <x:v>558</x:v>
      </x:c>
      <x:c r="I113" s="932" t="s">
        <x:v>559</x:v>
      </x:c>
      <x:c r="J113" s="932" t="s">
        <x:v>560</x:v>
      </x:c>
      <x:c r="K113" s="932" t="s">
        <x:v>558</x:v>
      </x:c>
      <x:c r="L113" s="932" t="s">
        <x:v>559</x:v>
      </x:c>
      <x:c r="M113" s="932" t="s">
        <x:v>560</x:v>
      </x:c>
      <x:c r="N113" s="932" t="s">
        <x:v>558</x:v>
      </x:c>
      <x:c r="O113" s="932" t="s">
        <x:v>559</x:v>
      </x:c>
      <x:c r="P113" s="932" t="s">
        <x:v>560</x:v>
      </x:c>
      <x:c r="Q113" s="932" t="s">
        <x:v>596</x:v>
      </x:c>
      <x:c r="R113" s="932" t="s">
        <x:v>597</x:v>
      </x:c>
    </x:row>
    <x:row r="114" ht="16.5" customHeight="1">
      <x:c r="A114" s="1232" t="s">
        <x:v>563</x:v>
      </x:c>
      <x:c r="B114" s="1248">
        <x:v>384</x:v>
      </x:c>
      <x:c r="C114" s="1248">
        <x:v>484</x:v>
      </x:c>
      <x:c r="D114" s="1248">
        <x:v>868</x:v>
      </x:c>
      <x:c r="E114" s="1248">
        <x:v>418</x:v>
      </x:c>
      <x:c r="F114" s="1248">
        <x:v>615</x:v>
      </x:c>
      <x:c r="G114" s="1248">
        <x:v>1033</x:v>
      </x:c>
      <x:c r="H114" s="1248">
        <x:v>364</x:v>
      </x:c>
      <x:c r="I114" s="1248">
        <x:v>599</x:v>
      </x:c>
      <x:c r="J114" s="1248">
        <x:v>963</x:v>
      </x:c>
      <x:c r="K114" s="1248">
        <x:v>390</x:v>
      </x:c>
      <x:c r="L114" s="1248">
        <x:v>546</x:v>
      </x:c>
      <x:c r="M114" s="1248">
        <x:v>936</x:v>
      </x:c>
      <x:c r="N114" s="1248">
        <x:v>366</x:v>
      </x:c>
      <x:c r="O114" s="1248">
        <x:v>557</x:v>
      </x:c>
      <x:c r="P114" s="1248">
        <x:v>923</x:v>
      </x:c>
      <x:c r="Q114" s="1249">
        <x:v>0.39653304442036802</x:v>
      </x:c>
      <x:c r="R114" s="1249">
        <x:v>0.60346695557963204</x:v>
      </x:c>
    </x:row>
    <x:row r="115" ht="33.75" customHeight="1">
      <x:c r="A115" s="1232" t="s">
        <x:v>591</x:v>
      </x:c>
      <x:c r="B115" s="1248">
        <x:v>163</x:v>
      </x:c>
      <x:c r="C115" s="1248">
        <x:v>157</x:v>
      </x:c>
      <x:c r="D115" s="1248">
        <x:v>320</x:v>
      </x:c>
      <x:c r="E115" s="1248">
        <x:v>219</x:v>
      </x:c>
      <x:c r="F115" s="1248">
        <x:v>161</x:v>
      </x:c>
      <x:c r="G115" s="1248">
        <x:v>380</x:v>
      </x:c>
      <x:c r="H115" s="1248">
        <x:v>161</x:v>
      </x:c>
      <x:c r="I115" s="1248">
        <x:v>158</x:v>
      </x:c>
      <x:c r="J115" s="1248">
        <x:v>319</x:v>
      </x:c>
      <x:c r="K115" s="1248">
        <x:v>171</x:v>
      </x:c>
      <x:c r="L115" s="1248">
        <x:v>191</x:v>
      </x:c>
      <x:c r="M115" s="1248">
        <x:v>362</x:v>
      </x:c>
      <x:c r="N115" s="1248">
        <x:v>153</x:v>
      </x:c>
      <x:c r="O115" s="1248">
        <x:v>181</x:v>
      </x:c>
      <x:c r="P115" s="1248">
        <x:v>334</x:v>
      </x:c>
      <x:c r="Q115" s="1249">
        <x:v>0.45808383233532901</x:v>
      </x:c>
      <x:c r="R115" s="1249">
        <x:v>0.54191616766467099</x:v>
      </x:c>
    </x:row>
    <x:row r="116" ht="16.5" customHeight="1">
      <x:c r="A116" s="1232" t="s">
        <x:v>564</x:v>
      </x:c>
      <x:c r="B116" s="1248">
        <x:v>32</x:v>
      </x:c>
      <x:c r="C116" s="1248">
        <x:v>76</x:v>
      </x:c>
      <x:c r="D116" s="1248">
        <x:v>108</x:v>
      </x:c>
      <x:c r="E116" s="1248">
        <x:v>34</x:v>
      </x:c>
      <x:c r="F116" s="1248">
        <x:v>76</x:v>
      </x:c>
      <x:c r="G116" s="1248">
        <x:v>110</x:v>
      </x:c>
      <x:c r="H116" s="1248">
        <x:v>30</x:v>
      </x:c>
      <x:c r="I116" s="1248">
        <x:v>95</x:v>
      </x:c>
      <x:c r="J116" s="1248">
        <x:v>125</x:v>
      </x:c>
      <x:c r="K116" s="1248">
        <x:v>38</x:v>
      </x:c>
      <x:c r="L116" s="1248">
        <x:v>77</x:v>
      </x:c>
      <x:c r="M116" s="1248">
        <x:v>115</x:v>
      </x:c>
      <x:c r="N116" s="1248">
        <x:v>30</x:v>
      </x:c>
      <x:c r="O116" s="1248">
        <x:v>98</x:v>
      </x:c>
      <x:c r="P116" s="1248">
        <x:v>128</x:v>
      </x:c>
      <x:c r="Q116" s="1249">
        <x:v>0.234375</x:v>
      </x:c>
      <x:c r="R116" s="1249">
        <x:v>0.765625</x:v>
      </x:c>
    </x:row>
    <x:row r="117" ht="16.5" customHeight="1">
      <x:c r="A117" s="1232" t="s">
        <x:v>373</x:v>
      </x:c>
      <x:c r="B117" s="1248">
        <x:v>28</x:v>
      </x:c>
      <x:c r="C117" s="1248">
        <x:v>37</x:v>
      </x:c>
      <x:c r="D117" s="1248">
        <x:v>65</x:v>
      </x:c>
      <x:c r="E117" s="1248">
        <x:v>20</x:v>
      </x:c>
      <x:c r="F117" s="1248">
        <x:v>34</x:v>
      </x:c>
      <x:c r="G117" s="1248">
        <x:v>54</x:v>
      </x:c>
      <x:c r="H117" s="1248">
        <x:v>33</x:v>
      </x:c>
      <x:c r="I117" s="1248">
        <x:v>32</x:v>
      </x:c>
      <x:c r="J117" s="1248">
        <x:v>65</x:v>
      </x:c>
      <x:c r="K117" s="1248">
        <x:v>27</x:v>
      </x:c>
      <x:c r="L117" s="1248">
        <x:v>33</x:v>
      </x:c>
      <x:c r="M117" s="1248">
        <x:v>60</x:v>
      </x:c>
      <x:c r="N117" s="1248">
        <x:v>22</x:v>
      </x:c>
      <x:c r="O117" s="1248">
        <x:v>29</x:v>
      </x:c>
      <x:c r="P117" s="1248">
        <x:v>51</x:v>
      </x:c>
      <x:c r="Q117" s="1249">
        <x:v>0.43137254901960798</x:v>
      </x:c>
      <x:c r="R117" s="1249">
        <x:v>0.56862745098039202</x:v>
      </x:c>
    </x:row>
    <x:row r="118" ht="16.5" customHeight="1">
      <x:c r="A118" s="1232" t="s">
        <x:v>592</x:v>
      </x:c>
      <x:c r="B118" s="1248">
        <x:v>36</x:v>
      </x:c>
      <x:c r="C118" s="1248">
        <x:v>1</x:v>
      </x:c>
      <x:c r="D118" s="1248">
        <x:v>37</x:v>
      </x:c>
      <x:c r="E118" s="1248">
        <x:v>29</x:v>
      </x:c>
      <x:c r="F118" s="1248">
        <x:v>1</x:v>
      </x:c>
      <x:c r="G118" s="1248">
        <x:v>30</x:v>
      </x:c>
      <x:c r="H118" s="1248">
        <x:v>26</x:v>
      </x:c>
      <x:c r="I118" s="1248">
        <x:v>0</x:v>
      </x:c>
      <x:c r="J118" s="1248">
        <x:v>26</x:v>
      </x:c>
      <x:c r="K118" s="1248">
        <x:v>38</x:v>
      </x:c>
      <x:c r="L118" s="1248">
        <x:v>1</x:v>
      </x:c>
      <x:c r="M118" s="1248">
        <x:v>39</x:v>
      </x:c>
      <x:c r="N118" s="1248">
        <x:v>34</x:v>
      </x:c>
      <x:c r="O118" s="1248">
        <x:v>1</x:v>
      </x:c>
      <x:c r="P118" s="1248">
        <x:v>35</x:v>
      </x:c>
      <x:c r="Q118" s="1249">
        <x:v>0.97142857142857097</x:v>
      </x:c>
      <x:c r="R118" s="1249">
        <x:v>2.8571428571428598E-2</x:v>
      </x:c>
    </x:row>
    <x:row r="119" ht="16.5" customHeight="1">
      <x:c r="A119" s="1232" t="s">
        <x:v>565</x:v>
      </x:c>
      <x:c r="B119" s="1248">
        <x:v>27</x:v>
      </x:c>
      <x:c r="C119" s="1248">
        <x:v>0</x:v>
      </x:c>
      <x:c r="D119" s="1248">
        <x:v>27</x:v>
      </x:c>
      <x:c r="E119" s="1248">
        <x:v>26</x:v>
      </x:c>
      <x:c r="F119" s="1248">
        <x:v>0</x:v>
      </x:c>
      <x:c r="G119" s="1248">
        <x:v>26</x:v>
      </x:c>
      <x:c r="H119" s="1248">
        <x:v>20</x:v>
      </x:c>
      <x:c r="I119" s="1248">
        <x:v>0</x:v>
      </x:c>
      <x:c r="J119" s="1248">
        <x:v>20</x:v>
      </x:c>
      <x:c r="K119" s="1248">
        <x:v>31</x:v>
      </x:c>
      <x:c r="L119" s="1248">
        <x:v>0</x:v>
      </x:c>
      <x:c r="M119" s="1248">
        <x:v>31</x:v>
      </x:c>
      <x:c r="N119" s="1248">
        <x:v>12</x:v>
      </x:c>
      <x:c r="O119" s="1248">
        <x:v>0</x:v>
      </x:c>
      <x:c r="P119" s="1248">
        <x:v>12</x:v>
      </x:c>
      <x:c r="Q119" s="1249">
        <x:v>1</x:v>
      </x:c>
      <x:c r="R119" s="1249">
        <x:v>0</x:v>
      </x:c>
    </x:row>
    <x:row r="120" ht="16.5" customHeight="1">
      <x:c r="A120" s="1232" t="s">
        <x:v>567</x:v>
      </x:c>
      <x:c r="B120" s="1248">
        <x:v>33</x:v>
      </x:c>
      <x:c r="C120" s="1248">
        <x:v>0</x:v>
      </x:c>
      <x:c r="D120" s="1248">
        <x:v>33</x:v>
      </x:c>
      <x:c r="E120" s="1248">
        <x:v>32</x:v>
      </x:c>
      <x:c r="F120" s="1248">
        <x:v>0</x:v>
      </x:c>
      <x:c r="G120" s="1248">
        <x:v>32</x:v>
      </x:c>
      <x:c r="H120" s="1248">
        <x:v>18</x:v>
      </x:c>
      <x:c r="I120" s="1248">
        <x:v>0</x:v>
      </x:c>
      <x:c r="J120" s="1248">
        <x:v>18</x:v>
      </x:c>
      <x:c r="K120" s="1248">
        <x:v>19</x:v>
      </x:c>
      <x:c r="L120" s="1248">
        <x:v>0</x:v>
      </x:c>
      <x:c r="M120" s="1248">
        <x:v>19</x:v>
      </x:c>
      <x:c r="N120" s="1248">
        <x:v>23</x:v>
      </x:c>
      <x:c r="O120" s="1248">
        <x:v>0</x:v>
      </x:c>
      <x:c r="P120" s="1248">
        <x:v>23</x:v>
      </x:c>
      <x:c r="Q120" s="1249">
        <x:v>1</x:v>
      </x:c>
      <x:c r="R120" s="1249">
        <x:v>0</x:v>
      </x:c>
    </x:row>
    <x:row r="121" ht="16.5" customHeight="1">
      <x:c r="A121" s="1232" t="s">
        <x:v>568</x:v>
      </x:c>
      <x:c r="B121" s="1248">
        <x:v>3</x:v>
      </x:c>
      <x:c r="C121" s="1248">
        <x:v>5</x:v>
      </x:c>
      <x:c r="D121" s="1248">
        <x:v>8</x:v>
      </x:c>
      <x:c r="E121" s="1248">
        <x:v>2</x:v>
      </x:c>
      <x:c r="F121" s="1248">
        <x:v>13</x:v>
      </x:c>
      <x:c r="G121" s="1248">
        <x:v>15</x:v>
      </x:c>
      <x:c r="H121" s="1248">
        <x:v>4</x:v>
      </x:c>
      <x:c r="I121" s="1248">
        <x:v>8</x:v>
      </x:c>
      <x:c r="J121" s="1248">
        <x:v>12</x:v>
      </x:c>
      <x:c r="K121" s="1248">
        <x:v>0</x:v>
      </x:c>
      <x:c r="L121" s="1248">
        <x:v>4</x:v>
      </x:c>
      <x:c r="M121" s="1248">
        <x:v>4</x:v>
      </x:c>
      <x:c r="N121" s="1248">
        <x:v>4</x:v>
      </x:c>
      <x:c r="O121" s="1248">
        <x:v>19</x:v>
      </x:c>
      <x:c r="P121" s="1248">
        <x:v>23</x:v>
      </x:c>
      <x:c r="Q121" s="1249">
        <x:v>0.173913043478261</x:v>
      </x:c>
      <x:c r="R121" s="1249">
        <x:v>0.82608695652173902</x:v>
      </x:c>
    </x:row>
    <x:row r="122" ht="16.5" customHeight="1">
      <x:c r="A122" s="932" t="s">
        <x:v>570</x:v>
      </x:c>
      <x:c r="B122" s="1248">
        <x:v>706</x:v>
      </x:c>
      <x:c r="C122" s="1248">
        <x:v>760</x:v>
      </x:c>
      <x:c r="D122" s="1248">
        <x:v>1466</x:v>
      </x:c>
      <x:c r="E122" s="1248">
        <x:v>780</x:v>
      </x:c>
      <x:c r="F122" s="1248">
        <x:v>900</x:v>
      </x:c>
      <x:c r="G122" s="1248">
        <x:v>1680</x:v>
      </x:c>
      <x:c r="H122" s="1248">
        <x:v>656</x:v>
      </x:c>
      <x:c r="I122" s="1248">
        <x:v>892</x:v>
      </x:c>
      <x:c r="J122" s="1248">
        <x:v>1548</x:v>
      </x:c>
      <x:c r="K122" s="1248">
        <x:v>714</x:v>
      </x:c>
      <x:c r="L122" s="1248">
        <x:v>852</x:v>
      </x:c>
      <x:c r="M122" s="1248">
        <x:v>1566</x:v>
      </x:c>
      <x:c r="N122" s="1248">
        <x:v>644</x:v>
      </x:c>
      <x:c r="O122" s="1248">
        <x:v>885</x:v>
      </x:c>
      <x:c r="P122" s="1248">
        <x:v>1529</x:v>
      </x:c>
      <x:c r="Q122" s="1249">
        <x:v>0.421190320470896</x:v>
      </x:c>
      <x:c r="R122" s="1249">
        <x:v>0.578809679529104</x:v>
      </x:c>
    </x:row>
    <x:row r="123" ht="16.5" customHeight="1">
      <x:c r="A123" s="916" t="s">
        <x:v>610</x:v>
      </x:c>
      <x:c r="B123" s="1210"/>
      <x:c r="C123" s="1210"/>
      <x:c r="D123" s="1210"/>
      <x:c r="E123" s="1210"/>
      <x:c r="F123" s="1210"/>
      <x:c r="G123" s="1210"/>
      <x:c r="H123" s="1210"/>
      <x:c r="I123" s="1210"/>
      <x:c r="J123" s="1210"/>
      <x:c r="K123" s="1210"/>
      <x:c r="L123" s="1210"/>
      <x:c r="M123" s="1210"/>
      <x:c r="N123" s="1210"/>
      <x:c r="O123" s="1210"/>
      <x:c r="P123" s="1210"/>
      <x:c r="Q123" s="1210"/>
      <x:c r="R123" s="1210"/>
    </x:row>
    <x:row r="124" ht="16.5" customHeight="1">
      <x:c r="A124" s="916" t="s">
        <x:v>611</x:v>
      </x:c>
      <x:c r="B124" s="1210"/>
      <x:c r="C124" s="1210"/>
      <x:c r="D124" s="1210"/>
      <x:c r="E124" s="1210"/>
      <x:c r="F124" s="1210"/>
      <x:c r="G124" s="1210"/>
      <x:c r="H124" s="1210"/>
      <x:c r="I124" s="1210"/>
      <x:c r="J124" s="1210"/>
      <x:c r="K124" s="1210"/>
      <x:c r="L124" s="1210"/>
      <x:c r="M124" s="1210"/>
      <x:c r="N124" s="1210"/>
      <x:c r="O124" s="1210"/>
      <x:c r="P124" s="1210"/>
      <x:c r="Q124" s="1210"/>
      <x:c r="R124" s="1210"/>
    </x:row>
  </x:sheetData>
  <x:mergeCells>
    <x:mergeCell ref="B3:D3"/>
    <x:mergeCell ref="B49:D49"/>
    <x:mergeCell ref="N112:P112"/>
    <x:mergeCell ref="A64:A65"/>
    <x:mergeCell ref="B64:D64"/>
    <x:mergeCell ref="E64:G64"/>
    <x:mergeCell ref="H64:J64"/>
    <x:mergeCell ref="K64:M64"/>
    <x:mergeCell ref="N64:P64"/>
    <x:mergeCell ref="A112:A113"/>
    <x:mergeCell ref="B112:D112"/>
    <x:mergeCell ref="E112:G112"/>
    <x:mergeCell ref="H112:J112"/>
    <x:mergeCell ref="K112:M11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8.85546875" defaultRowHeight="15"/>
  <x:cols>
    <x:col min="1" max="3" width="12" style="162" customWidth="1"/>
    <x:col min="4" max="4" width="16" style="162" hidden="0" customWidth="1"/>
    <x:col min="5" max="5" width="16" style="162" hidden="0" customWidth="1"/>
    <x:col min="6" max="6" width="20" style="162" hidden="0" customWidth="1"/>
    <x:col min="7" max="7" width="52" style="162" hidden="0" customWidth="1"/>
    <x:col min="8" max="8" width="13" style="162" hidden="0" customWidth="1"/>
    <x:col min="9" max="9" width="13" style="162" hidden="0" customWidth="1"/>
    <x:col min="10" max="12" width="13" style="162" customWidth="1"/>
    <x:col min="13" max="13" width="26" style="162" hidden="0" customWidth="1"/>
    <x:col min="14" max="14" width="20" style="162" hidden="0" customWidth="1"/>
    <x:col min="15" max="15" width="30" style="162" hidden="0" customWidth="1"/>
    <x:col min="16" max="16" width="58" style="162" hidden="0" customWidth="1"/>
    <x:col min="17" max="18" width="8.85546875" style="162" customWidth="1"/>
    <x:col min="19" max="16384" width="8.85546875" style="162" customWidth="0"/>
    <x:col min="1" max="1" width="13" hidden="0" customWidth="1"/>
    <x:col min="2" max="2" width="13" hidden="0" customWidth="1"/>
    <x:col min="3" max="3" width="14" hidden="0" customWidth="1"/>
    <x:col min="10" max="10" width="13" hidden="0" customWidth="1"/>
    <x:col min="11" max="11" width="13" hidden="0" customWidth="1"/>
    <x:col min="12" max="12" width="13" hidden="0" customWidth="1"/>
  </x:cols>
  <x:sheetData>
    <x:row r="1" ht="34" customHeight="1">
      <x:c r="A1" s="1456" t="s">
        <x:v>521</x:v>
      </x:c>
      <x:c r="B1" s="2771" t="s">
        <x:v>522</x:v>
      </x:c>
      <x:c r="C1" s="2576" t="s">
        <x:v>523</x:v>
      </x:c>
      <x:c r="D1" s="2576" t="s">
        <x:v>524</x:v>
      </x:c>
      <x:c r="E1" s="2576" t="s">
        <x:v>525</x:v>
      </x:c>
      <x:c r="F1" s="2576" t="s">
        <x:v>612</x:v>
      </x:c>
      <x:c r="G1" s="2576" t="s">
        <x:v>613</x:v>
      </x:c>
      <x:c r="H1" s="2772" t="s">
        <x:v>614</x:v>
      </x:c>
      <x:c r="I1" s="2772" t="s">
        <x:v>615</x:v>
      </x:c>
      <x:c r="J1" s="2772" t="s">
        <x:v>616</x:v>
      </x:c>
      <x:c r="K1" s="2774" t="s">
        <x:v>617</x:v>
      </x:c>
      <x:c r="L1" s="2774" t="s">
        <x:v>618</x:v>
      </x:c>
      <x:c r="M1" s="2576" t="s">
        <x:v>530</x:v>
      </x:c>
      <x:c r="N1" s="2576" t="s">
        <x:v>531</x:v>
      </x:c>
      <x:c r="O1" s="2576" t="s">
        <x:v>532</x:v>
      </x:c>
      <x:c r="P1" s="2576" t="s">
        <x:v>533</x:v>
      </x:c>
      <x:c r="Q1" s="1478"/>
    </x:row>
    <x:row r="2" ht="36" customHeight="1">
      <x:c r="A2" s="2796">
        <x:v>45474</x:v>
      </x:c>
      <x:c r="B2" s="2797">
        <x:v>45565</x:v>
      </x:c>
      <x:c r="C2" s="2590" t="s">
        <x:v>534</x:v>
      </x:c>
      <x:c r="D2" s="2590" t="s">
        <x:v>164</x:v>
      </x:c>
      <x:c r="E2" s="2590" t="s">
        <x:v>535</x:v>
      </x:c>
      <x:c r="F2" s="2590" t="s">
        <x:v>619</x:v>
      </x:c>
      <x:c r="G2" s="2591" t="s">
        <x:v>373</x:v>
      </x:c>
      <x:c r="H2" s="2383">
        <x:v>1920</x:v>
      </x:c>
      <x:c r="I2" s="2383">
        <x:v>6016</x:v>
      </x:c>
      <x:c r="J2" s="2383" t="n">
        <x:f>SUM(H2:I2)</x:f>
        <x:v>7936</x:v>
      </x:c>
      <x:c r="K2" s="2530" t="n">
        <x:f>IFERROR(H2/J2,0)</x:f>
        <x:v>0.24193548387096775</x:v>
      </x:c>
      <x:c r="L2" s="2530" t="n">
        <x:f>IFERROR(I2/J2,0)</x:f>
        <x:v>0.7580645161290323</x:v>
      </x:c>
      <x:c r="M2" s="2590" t="s">
        <x:v>130</x:v>
      </x:c>
      <x:c r="N2" s="2590" t="s">
        <x:v>168</x:v>
      </x:c>
      <x:c r="O2" s="2590" t="s">
        <x:v>133</x:v>
      </x:c>
      <x:c r="P2" s="2581" t="s">
        <x:v>620</x:v>
      </x:c>
      <x:c r="Q2" s="1155"/>
    </x:row>
    <x:row r="3" ht="36" customHeight="1">
      <x:c r="A3" s="2796">
        <x:v>45474</x:v>
      </x:c>
      <x:c r="B3" s="2797">
        <x:v>45565</x:v>
      </x:c>
      <x:c r="C3" s="2590" t="s">
        <x:v>534</x:v>
      </x:c>
      <x:c r="D3" s="2590" t="s">
        <x:v>164</x:v>
      </x:c>
      <x:c r="E3" s="2590" t="s">
        <x:v>535</x:v>
      </x:c>
      <x:c r="F3" s="2590" t="s">
        <x:v>619</x:v>
      </x:c>
      <x:c r="G3" s="2591" t="s">
        <x:v>577</x:v>
      </x:c>
      <x:c r="H3" s="2383">
        <x:v>1197</x:v>
      </x:c>
      <x:c r="I3" s="2383">
        <x:v>2753</x:v>
      </x:c>
      <x:c r="J3" s="2383" t="n">
        <x:f>SUM(H3:I3)</x:f>
        <x:v>3950</x:v>
      </x:c>
      <x:c r="K3" s="2530" t="n">
        <x:f>IFERROR(H3/J3,0)</x:f>
        <x:v>0.3030379746835443</x:v>
      </x:c>
      <x:c r="L3" s="2530" t="n">
        <x:f>IFERROR(I3/J3,0)</x:f>
        <x:v>0.6969620253164557</x:v>
      </x:c>
      <x:c r="M3" s="2590" t="s">
        <x:v>130</x:v>
      </x:c>
      <x:c r="N3" s="2590" t="s">
        <x:v>168</x:v>
      </x:c>
      <x:c r="O3" s="2590" t="s">
        <x:v>133</x:v>
      </x:c>
      <x:c r="P3" s="2581" t="s">
        <x:v>620</x:v>
      </x:c>
      <x:c r="Q3" s="1155"/>
    </x:row>
    <x:row r="4" ht="36" customHeight="1">
      <x:c r="A4" s="2796">
        <x:v>45474</x:v>
      </x:c>
      <x:c r="B4" s="2797">
        <x:v>45565</x:v>
      </x:c>
      <x:c r="C4" s="2590" t="s">
        <x:v>534</x:v>
      </x:c>
      <x:c r="D4" s="2590" t="s">
        <x:v>164</x:v>
      </x:c>
      <x:c r="E4" s="2590" t="s">
        <x:v>535</x:v>
      </x:c>
      <x:c r="F4" s="2590" t="s">
        <x:v>619</x:v>
      </x:c>
      <x:c r="G4" s="2591" t="s">
        <x:v>564</x:v>
      </x:c>
      <x:c r="H4" s="2383">
        <x:v>175</x:v>
      </x:c>
      <x:c r="I4" s="2383">
        <x:v>1205</x:v>
      </x:c>
      <x:c r="J4" s="2383" t="n">
        <x:f>SUM(H4:I4)</x:f>
        <x:v>1380</x:v>
      </x:c>
      <x:c r="K4" s="2530" t="n">
        <x:f>IFERROR(H4/J4,0)</x:f>
        <x:v>0.12681159420289856</x:v>
      </x:c>
      <x:c r="L4" s="2530" t="n">
        <x:f>IFERROR(I4/J4,0)</x:f>
        <x:v>0.8731884057971014</x:v>
      </x:c>
      <x:c r="M4" s="2590" t="s">
        <x:v>130</x:v>
      </x:c>
      <x:c r="N4" s="2590" t="s">
        <x:v>168</x:v>
      </x:c>
      <x:c r="O4" s="2590" t="s">
        <x:v>133</x:v>
      </x:c>
      <x:c r="P4" s="2581" t="s">
        <x:v>620</x:v>
      </x:c>
      <x:c r="Q4" s="1155"/>
    </x:row>
    <x:row r="5" ht="36" customHeight="1">
      <x:c r="A5" s="2796">
        <x:v>45474</x:v>
      </x:c>
      <x:c r="B5" s="2797">
        <x:v>45565</x:v>
      </x:c>
      <x:c r="C5" s="2590" t="s">
        <x:v>534</x:v>
      </x:c>
      <x:c r="D5" s="2590" t="s">
        <x:v>164</x:v>
      </x:c>
      <x:c r="E5" s="2590" t="s">
        <x:v>535</x:v>
      </x:c>
      <x:c r="F5" s="2590" t="s">
        <x:v>619</x:v>
      </x:c>
      <x:c r="G5" s="2591" t="s">
        <x:v>565</x:v>
      </x:c>
      <x:c r="H5" s="2383">
        <x:v>607</x:v>
      </x:c>
      <x:c r="I5" s="2383">
        <x:v>6</x:v>
      </x:c>
      <x:c r="J5" s="2383" t="n">
        <x:f>SUM(H5:I5)</x:f>
        <x:v>613</x:v>
      </x:c>
      <x:c r="K5" s="2530" t="n">
        <x:f>IFERROR(H5/J5,0)</x:f>
        <x:v>0.9902120717781403</x:v>
      </x:c>
      <x:c r="L5" s="2530" t="n">
        <x:f>IFERROR(I5/J5,0)</x:f>
        <x:v>0.009787928221859706</x:v>
      </x:c>
      <x:c r="M5" s="2590" t="s">
        <x:v>130</x:v>
      </x:c>
      <x:c r="N5" s="2590" t="s">
        <x:v>168</x:v>
      </x:c>
      <x:c r="O5" s="2590" t="s">
        <x:v>133</x:v>
      </x:c>
      <x:c r="P5" s="2581" t="s">
        <x:v>620</x:v>
      </x:c>
      <x:c r="Q5" s="1155"/>
    </x:row>
    <x:row r="6" ht="36" customHeight="1">
      <x:c r="A6" s="2796">
        <x:v>45474</x:v>
      </x:c>
      <x:c r="B6" s="2797">
        <x:v>45565</x:v>
      </x:c>
      <x:c r="C6" s="2590" t="s">
        <x:v>534</x:v>
      </x:c>
      <x:c r="D6" s="2590" t="s">
        <x:v>164</x:v>
      </x:c>
      <x:c r="E6" s="2590" t="s">
        <x:v>535</x:v>
      </x:c>
      <x:c r="F6" s="2590" t="s">
        <x:v>619</x:v>
      </x:c>
      <x:c r="G6" s="2591" t="s">
        <x:v>566</x:v>
      </x:c>
      <x:c r="H6" s="2383">
        <x:v>436</x:v>
      </x:c>
      <x:c r="I6" s="2383">
        <x:v>4</x:v>
      </x:c>
      <x:c r="J6" s="2383" t="n">
        <x:f>SUM(H6:I6)</x:f>
        <x:v>440</x:v>
      </x:c>
      <x:c r="K6" s="2530" t="n">
        <x:f>IFERROR(H6/J6,0)</x:f>
        <x:v>0.990909090909091</x:v>
      </x:c>
      <x:c r="L6" s="2530" t="n">
        <x:f>IFERROR(I6/J6,0)</x:f>
        <x:v>0.00909090909090909</x:v>
      </x:c>
      <x:c r="M6" s="2590" t="s">
        <x:v>130</x:v>
      </x:c>
      <x:c r="N6" s="2590" t="s">
        <x:v>168</x:v>
      </x:c>
      <x:c r="O6" s="2590" t="s">
        <x:v>133</x:v>
      </x:c>
      <x:c r="P6" s="2581" t="s">
        <x:v>620</x:v>
      </x:c>
      <x:c r="Q6" s="1155"/>
    </x:row>
    <x:row r="7" ht="36" customHeight="1">
      <x:c r="A7" s="2796">
        <x:v>45474</x:v>
      </x:c>
      <x:c r="B7" s="2797">
        <x:v>45565</x:v>
      </x:c>
      <x:c r="C7" s="2590" t="s">
        <x:v>534</x:v>
      </x:c>
      <x:c r="D7" s="2590" t="s">
        <x:v>164</x:v>
      </x:c>
      <x:c r="E7" s="2590" t="s">
        <x:v>535</x:v>
      </x:c>
      <x:c r="F7" s="2590" t="s">
        <x:v>619</x:v>
      </x:c>
      <x:c r="G7" s="2591" t="s">
        <x:v>567</x:v>
      </x:c>
      <x:c r="H7" s="2383">
        <x:v>265</x:v>
      </x:c>
      <x:c r="I7" s="2383">
        <x:v>4</x:v>
      </x:c>
      <x:c r="J7" s="2383" t="n">
        <x:f>SUM(H7:I7)</x:f>
        <x:v>269</x:v>
      </x:c>
      <x:c r="K7" s="2530" t="n">
        <x:f>IFERROR(H7/J7,0)</x:f>
        <x:v>0.9851301115241635</x:v>
      </x:c>
      <x:c r="L7" s="2530" t="n">
        <x:f>IFERROR(I7/J7,0)</x:f>
        <x:v>0.01486988847583643</x:v>
      </x:c>
      <x:c r="M7" s="2590" t="s">
        <x:v>130</x:v>
      </x:c>
      <x:c r="N7" s="2590" t="s">
        <x:v>168</x:v>
      </x:c>
      <x:c r="O7" s="2590" t="s">
        <x:v>133</x:v>
      </x:c>
      <x:c r="P7" s="2581" t="s">
        <x:v>620</x:v>
      </x:c>
      <x:c r="Q7" s="1155"/>
    </x:row>
    <x:row r="8" ht="36" customHeight="1">
      <x:c r="A8" s="2796">
        <x:v>45474</x:v>
      </x:c>
      <x:c r="B8" s="2797">
        <x:v>45565</x:v>
      </x:c>
      <x:c r="C8" s="2590" t="s">
        <x:v>534</x:v>
      </x:c>
      <x:c r="D8" s="2590" t="s">
        <x:v>164</x:v>
      </x:c>
      <x:c r="E8" s="2590" t="s">
        <x:v>535</x:v>
      </x:c>
      <x:c r="F8" s="2590" t="s">
        <x:v>619</x:v>
      </x:c>
      <x:c r="G8" s="2591" t="s">
        <x:v>569</x:v>
      </x:c>
      <x:c r="H8" s="2383">
        <x:v>116</x:v>
      </x:c>
      <x:c r="I8" s="2383">
        <x:v>92</x:v>
      </x:c>
      <x:c r="J8" s="2383" t="n">
        <x:f>SUM(H8:I8)</x:f>
        <x:v>208</x:v>
      </x:c>
      <x:c r="K8" s="2530" t="n">
        <x:f>IFERROR(H8/J8,0)</x:f>
        <x:v>0.5576923076923077</x:v>
      </x:c>
      <x:c r="L8" s="2530" t="n">
        <x:f>IFERROR(I8/J8,0)</x:f>
        <x:v>0.4423076923076923</x:v>
      </x:c>
      <x:c r="M8" s="2590" t="s">
        <x:v>130</x:v>
      </x:c>
      <x:c r="N8" s="2590" t="s">
        <x:v>168</x:v>
      </x:c>
      <x:c r="O8" s="2590" t="s">
        <x:v>133</x:v>
      </x:c>
      <x:c r="P8" s="2581" t="s">
        <x:v>620</x:v>
      </x:c>
      <x:c r="Q8" s="1155"/>
    </x:row>
    <x:row r="9" ht="36" customHeight="1">
      <x:c r="A9" s="2796">
        <x:v>45474</x:v>
      </x:c>
      <x:c r="B9" s="2797">
        <x:v>45565</x:v>
      </x:c>
      <x:c r="C9" s="2590" t="s">
        <x:v>534</x:v>
      </x:c>
      <x:c r="D9" s="2590" t="s">
        <x:v>164</x:v>
      </x:c>
      <x:c r="E9" s="2590" t="s">
        <x:v>535</x:v>
      </x:c>
      <x:c r="F9" s="2590" t="s">
        <x:v>619</x:v>
      </x:c>
      <x:c r="G9" s="2591" t="s">
        <x:v>568</x:v>
      </x:c>
      <x:c r="H9" s="2383">
        <x:v>56</x:v>
      </x:c>
      <x:c r="I9" s="2383">
        <x:v>165</x:v>
      </x:c>
      <x:c r="J9" s="2383" t="n">
        <x:f>SUM(H9:I9)</x:f>
        <x:v>221</x:v>
      </x:c>
      <x:c r="K9" s="2530" t="n">
        <x:f>IFERROR(H9/J9,0)</x:f>
        <x:v>0.25339366515837103</x:v>
      </x:c>
      <x:c r="L9" s="2530" t="n">
        <x:f>IFERROR(I9/J9,0)</x:f>
        <x:v>0.746606334841629</x:v>
      </x:c>
      <x:c r="M9" s="2590" t="s">
        <x:v>130</x:v>
      </x:c>
      <x:c r="N9" s="2590" t="s">
        <x:v>168</x:v>
      </x:c>
      <x:c r="O9" s="2590" t="s">
        <x:v>133</x:v>
      </x:c>
      <x:c r="P9" s="2581" t="s">
        <x:v>620</x:v>
      </x:c>
      <x:c r="Q9" s="1155"/>
    </x:row>
    <x:row r="10" ht="36" customHeight="1">
      <x:c r="A10" s="2796">
        <x:v>45474</x:v>
      </x:c>
      <x:c r="B10" s="2797">
        <x:v>45565</x:v>
      </x:c>
      <x:c r="C10" s="2590" t="s">
        <x:v>534</x:v>
      </x:c>
      <x:c r="D10" s="2590" t="s">
        <x:v>164</x:v>
      </x:c>
      <x:c r="E10" s="2590" t="s">
        <x:v>535</x:v>
      </x:c>
      <x:c r="F10" s="2590" t="s">
        <x:v>621</x:v>
      </x:c>
      <x:c r="G10" s="2591" t="s">
        <x:v>577</x:v>
      </x:c>
      <x:c r="H10" s="2383">
        <x:v>418</x:v>
      </x:c>
      <x:c r="I10" s="2383">
        <x:v>615</x:v>
      </x:c>
      <x:c r="J10" s="2383" t="n">
        <x:f>SUM(H10:I10)</x:f>
        <x:v>1033</x:v>
      </x:c>
      <x:c r="K10" s="2530" t="n">
        <x:f>IFERROR(H10/J10,0)</x:f>
        <x:v>0.4046466602129719</x:v>
      </x:c>
      <x:c r="L10" s="2530" t="n">
        <x:f>IFERROR(I10/J10,0)</x:f>
        <x:v>0.5953533397870281</x:v>
      </x:c>
      <x:c r="M10" s="2590" t="s">
        <x:v>130</x:v>
      </x:c>
      <x:c r="N10" s="2590" t="s">
        <x:v>168</x:v>
      </x:c>
      <x:c r="O10" s="2590" t="s">
        <x:v>133</x:v>
      </x:c>
      <x:c r="P10" s="2581" t="s">
        <x:v>620</x:v>
      </x:c>
      <x:c r="Q10" s="1155"/>
    </x:row>
    <x:row r="11" ht="36" customHeight="1">
      <x:c r="A11" s="2796">
        <x:v>45474</x:v>
      </x:c>
      <x:c r="B11" s="2797">
        <x:v>45565</x:v>
      </x:c>
      <x:c r="C11" s="2590" t="s">
        <x:v>534</x:v>
      </x:c>
      <x:c r="D11" s="2590" t="s">
        <x:v>164</x:v>
      </x:c>
      <x:c r="E11" s="2590" t="s">
        <x:v>535</x:v>
      </x:c>
      <x:c r="F11" s="2590" t="s">
        <x:v>621</x:v>
      </x:c>
      <x:c r="G11" s="2591" t="s">
        <x:v>569</x:v>
      </x:c>
      <x:c r="H11" s="2383">
        <x:v>219</x:v>
      </x:c>
      <x:c r="I11" s="2383">
        <x:v>161</x:v>
      </x:c>
      <x:c r="J11" s="2383" t="n">
        <x:f>SUM(H11:I11)</x:f>
        <x:v>380</x:v>
      </x:c>
      <x:c r="K11" s="2530" t="n">
        <x:f>IFERROR(H11/J11,0)</x:f>
        <x:v>0.5763157894736842</x:v>
      </x:c>
      <x:c r="L11" s="2530" t="n">
        <x:f>IFERROR(I11/J11,0)</x:f>
        <x:v>0.4236842105263158</x:v>
      </x:c>
      <x:c r="M11" s="2590" t="s">
        <x:v>130</x:v>
      </x:c>
      <x:c r="N11" s="2590" t="s">
        <x:v>168</x:v>
      </x:c>
      <x:c r="O11" s="2590" t="s">
        <x:v>133</x:v>
      </x:c>
      <x:c r="P11" s="2581" t="s">
        <x:v>620</x:v>
      </x:c>
      <x:c r="Q11" s="1155"/>
    </x:row>
    <x:row r="12" ht="36" customHeight="1">
      <x:c r="A12" s="2796">
        <x:v>45474</x:v>
      </x:c>
      <x:c r="B12" s="2797">
        <x:v>45565</x:v>
      </x:c>
      <x:c r="C12" s="2590" t="s">
        <x:v>534</x:v>
      </x:c>
      <x:c r="D12" s="2590" t="s">
        <x:v>164</x:v>
      </x:c>
      <x:c r="E12" s="2590" t="s">
        <x:v>535</x:v>
      </x:c>
      <x:c r="F12" s="2590" t="s">
        <x:v>621</x:v>
      </x:c>
      <x:c r="G12" s="2591" t="s">
        <x:v>564</x:v>
      </x:c>
      <x:c r="H12" s="2383">
        <x:v>34</x:v>
      </x:c>
      <x:c r="I12" s="2383">
        <x:v>76</x:v>
      </x:c>
      <x:c r="J12" s="2383" t="n">
        <x:f>SUM(H12:I12)</x:f>
        <x:v>110</x:v>
      </x:c>
      <x:c r="K12" s="2530" t="n">
        <x:f>IFERROR(H12/J12,0)</x:f>
        <x:v>0.3090909090909091</x:v>
      </x:c>
      <x:c r="L12" s="2530" t="n">
        <x:f>IFERROR(I12/J12,0)</x:f>
        <x:v>0.6909090909090909</x:v>
      </x:c>
      <x:c r="M12" s="2590" t="s">
        <x:v>130</x:v>
      </x:c>
      <x:c r="N12" s="2590" t="s">
        <x:v>168</x:v>
      </x:c>
      <x:c r="O12" s="2590" t="s">
        <x:v>133</x:v>
      </x:c>
      <x:c r="P12" s="2581" t="s">
        <x:v>620</x:v>
      </x:c>
      <x:c r="Q12" s="1155"/>
    </x:row>
    <x:row r="13" ht="36" customHeight="1">
      <x:c r="A13" s="2796">
        <x:v>45474</x:v>
      </x:c>
      <x:c r="B13" s="2797">
        <x:v>45565</x:v>
      </x:c>
      <x:c r="C13" s="2590" t="s">
        <x:v>534</x:v>
      </x:c>
      <x:c r="D13" s="2590" t="s">
        <x:v>164</x:v>
      </x:c>
      <x:c r="E13" s="2590" t="s">
        <x:v>535</x:v>
      </x:c>
      <x:c r="F13" s="2590" t="s">
        <x:v>621</x:v>
      </x:c>
      <x:c r="G13" s="2591" t="s">
        <x:v>373</x:v>
      </x:c>
      <x:c r="H13" s="2383">
        <x:v>20</x:v>
      </x:c>
      <x:c r="I13" s="2383">
        <x:v>34</x:v>
      </x:c>
      <x:c r="J13" s="2383" t="n">
        <x:f>SUM(H13:I13)</x:f>
        <x:v>54</x:v>
      </x:c>
      <x:c r="K13" s="2530" t="n">
        <x:f>IFERROR(H13/J13,0)</x:f>
        <x:v>0.37037037037037035</x:v>
      </x:c>
      <x:c r="L13" s="2530" t="n">
        <x:f>IFERROR(I13/J13,0)</x:f>
        <x:v>0.6296296296296297</x:v>
      </x:c>
      <x:c r="M13" s="2590" t="s">
        <x:v>130</x:v>
      </x:c>
      <x:c r="N13" s="2590" t="s">
        <x:v>168</x:v>
      </x:c>
      <x:c r="O13" s="2590" t="s">
        <x:v>133</x:v>
      </x:c>
      <x:c r="P13" s="2581" t="s">
        <x:v>620</x:v>
      </x:c>
      <x:c r="Q13" s="1155"/>
    </x:row>
    <x:row r="14" ht="36" customHeight="1">
      <x:c r="A14" s="2796">
        <x:v>45474</x:v>
      </x:c>
      <x:c r="B14" s="2797">
        <x:v>45565</x:v>
      </x:c>
      <x:c r="C14" s="2590" t="s">
        <x:v>534</x:v>
      </x:c>
      <x:c r="D14" s="2590" t="s">
        <x:v>164</x:v>
      </x:c>
      <x:c r="E14" s="2590" t="s">
        <x:v>535</x:v>
      </x:c>
      <x:c r="F14" s="2590" t="s">
        <x:v>621</x:v>
      </x:c>
      <x:c r="G14" s="2591" t="s">
        <x:v>592</x:v>
      </x:c>
      <x:c r="H14" s="2383">
        <x:v>29</x:v>
      </x:c>
      <x:c r="I14" s="2383">
        <x:v>1</x:v>
      </x:c>
      <x:c r="J14" s="2383" t="n">
        <x:f>SUM(H14:I14)</x:f>
        <x:v>30</x:v>
      </x:c>
      <x:c r="K14" s="2530" t="n">
        <x:f>IFERROR(H14/J14,0)</x:f>
        <x:v>0.9666666666666667</x:v>
      </x:c>
      <x:c r="L14" s="2530" t="n">
        <x:f>IFERROR(I14/J14,0)</x:f>
        <x:v>0.03333333333333333</x:v>
      </x:c>
      <x:c r="M14" s="2590" t="s">
        <x:v>130</x:v>
      </x:c>
      <x:c r="N14" s="2590" t="s">
        <x:v>168</x:v>
      </x:c>
      <x:c r="O14" s="2590" t="s">
        <x:v>133</x:v>
      </x:c>
      <x:c r="P14" s="2581" t="s">
        <x:v>620</x:v>
      </x:c>
      <x:c r="Q14" s="1155"/>
    </x:row>
    <x:row r="15" ht="36" customHeight="1">
      <x:c r="A15" s="2796">
        <x:v>45474</x:v>
      </x:c>
      <x:c r="B15" s="2797">
        <x:v>45565</x:v>
      </x:c>
      <x:c r="C15" s="2590" t="s">
        <x:v>534</x:v>
      </x:c>
      <x:c r="D15" s="2590" t="s">
        <x:v>164</x:v>
      </x:c>
      <x:c r="E15" s="2590" t="s">
        <x:v>535</x:v>
      </x:c>
      <x:c r="F15" s="2590" t="s">
        <x:v>621</x:v>
      </x:c>
      <x:c r="G15" s="2591" t="s">
        <x:v>565</x:v>
      </x:c>
      <x:c r="H15" s="2383">
        <x:v>26</x:v>
      </x:c>
      <x:c r="I15" s="2383">
        <x:v>0</x:v>
      </x:c>
      <x:c r="J15" s="2383" t="n">
        <x:f>SUM(H15:I15)</x:f>
        <x:v>26</x:v>
      </x:c>
      <x:c r="K15" s="2530" t="n">
        <x:f>IFERROR(H15/J15,0)</x:f>
        <x:v>1</x:v>
      </x:c>
      <x:c r="L15" s="2530" t="n">
        <x:f>IFERROR(I15/J15,0)</x:f>
        <x:v>0</x:v>
      </x:c>
      <x:c r="M15" s="2590" t="s">
        <x:v>130</x:v>
      </x:c>
      <x:c r="N15" s="2590" t="s">
        <x:v>168</x:v>
      </x:c>
      <x:c r="O15" s="2590" t="s">
        <x:v>133</x:v>
      </x:c>
      <x:c r="P15" s="2581" t="s">
        <x:v>620</x:v>
      </x:c>
      <x:c r="Q15" s="1155"/>
    </x:row>
    <x:row r="16" ht="36" customHeight="1">
      <x:c r="A16" s="2796">
        <x:v>45474</x:v>
      </x:c>
      <x:c r="B16" s="2797">
        <x:v>45565</x:v>
      </x:c>
      <x:c r="C16" s="2590" t="s">
        <x:v>534</x:v>
      </x:c>
      <x:c r="D16" s="2590" t="s">
        <x:v>164</x:v>
      </x:c>
      <x:c r="E16" s="2590" t="s">
        <x:v>535</x:v>
      </x:c>
      <x:c r="F16" s="2590" t="s">
        <x:v>621</x:v>
      </x:c>
      <x:c r="G16" s="2591" t="s">
        <x:v>567</x:v>
      </x:c>
      <x:c r="H16" s="2383">
        <x:v>32</x:v>
      </x:c>
      <x:c r="I16" s="2383">
        <x:v>0</x:v>
      </x:c>
      <x:c r="J16" s="2383" t="n">
        <x:f>SUM(H16:I16)</x:f>
        <x:v>32</x:v>
      </x:c>
      <x:c r="K16" s="2530" t="n">
        <x:f>IFERROR(H16/J16,0)</x:f>
        <x:v>1</x:v>
      </x:c>
      <x:c r="L16" s="2530" t="n">
        <x:f>IFERROR(I16/J16,0)</x:f>
        <x:v>0</x:v>
      </x:c>
      <x:c r="M16" s="2590" t="s">
        <x:v>130</x:v>
      </x:c>
      <x:c r="N16" s="2590" t="s">
        <x:v>168</x:v>
      </x:c>
      <x:c r="O16" s="2590" t="s">
        <x:v>133</x:v>
      </x:c>
      <x:c r="P16" s="2581" t="s">
        <x:v>620</x:v>
      </x:c>
      <x:c r="Q16" s="1155"/>
    </x:row>
    <x:row r="17" ht="36" customHeight="1">
      <x:c r="A17" s="2796">
        <x:v>45474</x:v>
      </x:c>
      <x:c r="B17" s="2797">
        <x:v>45565</x:v>
      </x:c>
      <x:c r="C17" s="2590" t="s">
        <x:v>534</x:v>
      </x:c>
      <x:c r="D17" s="2590" t="s">
        <x:v>164</x:v>
      </x:c>
      <x:c r="E17" s="2590" t="s">
        <x:v>535</x:v>
      </x:c>
      <x:c r="F17" s="2590" t="s">
        <x:v>621</x:v>
      </x:c>
      <x:c r="G17" s="2591" t="s">
        <x:v>568</x:v>
      </x:c>
      <x:c r="H17" s="2383">
        <x:v>2</x:v>
      </x:c>
      <x:c r="I17" s="2383">
        <x:v>13</x:v>
      </x:c>
      <x:c r="J17" s="2383" t="n">
        <x:f>SUM(H17:I17)</x:f>
        <x:v>15</x:v>
      </x:c>
      <x:c r="K17" s="2530" t="n">
        <x:f>IFERROR(H17/J17,0)</x:f>
        <x:v>0.13333333333333333</x:v>
      </x:c>
      <x:c r="L17" s="2530" t="n">
        <x:f>IFERROR(I17/J17,0)</x:f>
        <x:v>0.8666666666666667</x:v>
      </x:c>
      <x:c r="M17" s="2590" t="s">
        <x:v>130</x:v>
      </x:c>
      <x:c r="N17" s="2590" t="s">
        <x:v>168</x:v>
      </x:c>
      <x:c r="O17" s="2590" t="s">
        <x:v>133</x:v>
      </x:c>
      <x:c r="P17" s="2581" t="s">
        <x:v>620</x:v>
      </x:c>
      <x:c r="Q17" s="1155"/>
    </x:row>
    <x:row r="18" ht="36" customHeight="1">
      <x:c r="A18" s="2796">
        <x:v>45566</x:v>
      </x:c>
      <x:c r="B18" s="2797">
        <x:v>45657</x:v>
      </x:c>
      <x:c r="C18" s="2590" t="s">
        <x:v>534</x:v>
      </x:c>
      <x:c r="D18" s="2590" t="s">
        <x:v>174</x:v>
      </x:c>
      <x:c r="E18" s="2590" t="s">
        <x:v>535</x:v>
      </x:c>
      <x:c r="F18" s="2590" t="s">
        <x:v>619</x:v>
      </x:c>
      <x:c r="G18" s="2591" t="s">
        <x:v>373</x:v>
      </x:c>
      <x:c r="H18" s="2383">
        <x:v>1687</x:v>
      </x:c>
      <x:c r="I18" s="2383">
        <x:v>6266</x:v>
      </x:c>
      <x:c r="J18" s="2383" t="n">
        <x:f>SUM(H18:I18)</x:f>
        <x:v>7953</x:v>
      </x:c>
      <x:c r="K18" s="2530" t="n">
        <x:f>IFERROR(H18/J18,0)</x:f>
        <x:v>0.21212121212121213</x:v>
      </x:c>
      <x:c r="L18" s="2530" t="n">
        <x:f>IFERROR(I18/J18,0)</x:f>
        <x:v>0.7878787878787878</x:v>
      </x:c>
      <x:c r="M18" s="2590" t="s">
        <x:v>130</x:v>
      </x:c>
      <x:c r="N18" s="2590" t="s">
        <x:v>175</x:v>
      </x:c>
      <x:c r="O18" s="2590" t="s">
        <x:v>133</x:v>
      </x:c>
      <x:c r="P18" s="2581" t="s">
        <x:v>620</x:v>
      </x:c>
      <x:c r="Q18" s="1155"/>
    </x:row>
    <x:row r="19" ht="36" customHeight="1">
      <x:c r="A19" s="2796">
        <x:v>45566</x:v>
      </x:c>
      <x:c r="B19" s="2797">
        <x:v>45657</x:v>
      </x:c>
      <x:c r="C19" s="2590" t="s">
        <x:v>534</x:v>
      </x:c>
      <x:c r="D19" s="2590" t="s">
        <x:v>174</x:v>
      </x:c>
      <x:c r="E19" s="2590" t="s">
        <x:v>535</x:v>
      </x:c>
      <x:c r="F19" s="2590" t="s">
        <x:v>619</x:v>
      </x:c>
      <x:c r="G19" s="2591" t="s">
        <x:v>577</x:v>
      </x:c>
      <x:c r="H19" s="2383">
        <x:v>1185</x:v>
      </x:c>
      <x:c r="I19" s="2383">
        <x:v>2689</x:v>
      </x:c>
      <x:c r="J19" s="2383" t="n">
        <x:f>SUM(H19:I19)</x:f>
        <x:v>3874</x:v>
      </x:c>
      <x:c r="K19" s="2530" t="n">
        <x:f>IFERROR(H19/J19,0)</x:f>
        <x:v>0.3058853897780072</x:v>
      </x:c>
      <x:c r="L19" s="2530" t="n">
        <x:f>IFERROR(I19/J19,0)</x:f>
        <x:v>0.6941146102219927</x:v>
      </x:c>
      <x:c r="M19" s="2590" t="s">
        <x:v>130</x:v>
      </x:c>
      <x:c r="N19" s="2590" t="s">
        <x:v>175</x:v>
      </x:c>
      <x:c r="O19" s="2590" t="s">
        <x:v>133</x:v>
      </x:c>
      <x:c r="P19" s="2581" t="s">
        <x:v>620</x:v>
      </x:c>
      <x:c r="Q19" s="1155"/>
    </x:row>
    <x:row r="20" ht="36" customHeight="1">
      <x:c r="A20" s="2796">
        <x:v>45566</x:v>
      </x:c>
      <x:c r="B20" s="2797">
        <x:v>45657</x:v>
      </x:c>
      <x:c r="C20" s="2590" t="s">
        <x:v>534</x:v>
      </x:c>
      <x:c r="D20" s="2590" t="s">
        <x:v>174</x:v>
      </x:c>
      <x:c r="E20" s="2590" t="s">
        <x:v>535</x:v>
      </x:c>
      <x:c r="F20" s="2590" t="s">
        <x:v>619</x:v>
      </x:c>
      <x:c r="G20" s="2591" t="s">
        <x:v>564</x:v>
      </x:c>
      <x:c r="H20" s="2383">
        <x:v>140</x:v>
      </x:c>
      <x:c r="I20" s="2383">
        <x:v>1220</x:v>
      </x:c>
      <x:c r="J20" s="2383" t="n">
        <x:f>SUM(H20:I20)</x:f>
        <x:v>1360</x:v>
      </x:c>
      <x:c r="K20" s="2530" t="n">
        <x:f>IFERROR(H20/J20,0)</x:f>
        <x:v>0.10294117647058823</x:v>
      </x:c>
      <x:c r="L20" s="2530" t="n">
        <x:f>IFERROR(I20/J20,0)</x:f>
        <x:v>0.8970588235294118</x:v>
      </x:c>
      <x:c r="M20" s="2590" t="s">
        <x:v>130</x:v>
      </x:c>
      <x:c r="N20" s="2590" t="s">
        <x:v>175</x:v>
      </x:c>
      <x:c r="O20" s="2590" t="s">
        <x:v>133</x:v>
      </x:c>
      <x:c r="P20" s="2581" t="s">
        <x:v>620</x:v>
      </x:c>
      <x:c r="Q20" s="1155"/>
    </x:row>
    <x:row r="21" ht="36" customHeight="1">
      <x:c r="A21" s="2796">
        <x:v>45566</x:v>
      </x:c>
      <x:c r="B21" s="2797">
        <x:v>45657</x:v>
      </x:c>
      <x:c r="C21" s="2590" t="s">
        <x:v>534</x:v>
      </x:c>
      <x:c r="D21" s="2590" t="s">
        <x:v>174</x:v>
      </x:c>
      <x:c r="E21" s="2590" t="s">
        <x:v>535</x:v>
      </x:c>
      <x:c r="F21" s="2590" t="s">
        <x:v>619</x:v>
      </x:c>
      <x:c r="G21" s="2591" t="s">
        <x:v>565</x:v>
      </x:c>
      <x:c r="H21" s="2383">
        <x:v>532</x:v>
      </x:c>
      <x:c r="I21" s="2383">
        <x:v>2</x:v>
      </x:c>
      <x:c r="J21" s="2383" t="n">
        <x:f>SUM(H21:I21)</x:f>
        <x:v>534</x:v>
      </x:c>
      <x:c r="K21" s="2530" t="n">
        <x:f>IFERROR(H21/J21,0)</x:f>
        <x:v>0.9962546816479401</x:v>
      </x:c>
      <x:c r="L21" s="2530" t="n">
        <x:f>IFERROR(I21/J21,0)</x:f>
        <x:v>0.003745318352059925</x:v>
      </x:c>
      <x:c r="M21" s="2590" t="s">
        <x:v>130</x:v>
      </x:c>
      <x:c r="N21" s="2590" t="s">
        <x:v>175</x:v>
      </x:c>
      <x:c r="O21" s="2590" t="s">
        <x:v>133</x:v>
      </x:c>
      <x:c r="P21" s="2581" t="s">
        <x:v>620</x:v>
      </x:c>
      <x:c r="Q21" s="1155"/>
    </x:row>
    <x:row r="22" ht="36" customHeight="1">
      <x:c r="A22" s="2796">
        <x:v>45566</x:v>
      </x:c>
      <x:c r="B22" s="2797">
        <x:v>45657</x:v>
      </x:c>
      <x:c r="C22" s="2590" t="s">
        <x:v>534</x:v>
      </x:c>
      <x:c r="D22" s="2590" t="s">
        <x:v>174</x:v>
      </x:c>
      <x:c r="E22" s="2590" t="s">
        <x:v>535</x:v>
      </x:c>
      <x:c r="F22" s="2590" t="s">
        <x:v>619</x:v>
      </x:c>
      <x:c r="G22" s="2591" t="s">
        <x:v>566</x:v>
      </x:c>
      <x:c r="H22" s="2383">
        <x:v>466</x:v>
      </x:c>
      <x:c r="I22" s="2383">
        <x:v>4</x:v>
      </x:c>
      <x:c r="J22" s="2383" t="n">
        <x:f>SUM(H22:I22)</x:f>
        <x:v>470</x:v>
      </x:c>
      <x:c r="K22" s="2530" t="n">
        <x:f>IFERROR(H22/J22,0)</x:f>
        <x:v>0.9914893617021276</x:v>
      </x:c>
      <x:c r="L22" s="2530" t="n">
        <x:f>IFERROR(I22/J22,0)</x:f>
        <x:v>0.00851063829787234</x:v>
      </x:c>
      <x:c r="M22" s="2590" t="s">
        <x:v>130</x:v>
      </x:c>
      <x:c r="N22" s="2590" t="s">
        <x:v>175</x:v>
      </x:c>
      <x:c r="O22" s="2590" t="s">
        <x:v>133</x:v>
      </x:c>
      <x:c r="P22" s="2581" t="s">
        <x:v>620</x:v>
      </x:c>
      <x:c r="Q22" s="1155"/>
    </x:row>
    <x:row r="23" ht="36" customHeight="1">
      <x:c r="A23" s="2796">
        <x:v>45566</x:v>
      </x:c>
      <x:c r="B23" s="2797">
        <x:v>45657</x:v>
      </x:c>
      <x:c r="C23" s="2590" t="s">
        <x:v>534</x:v>
      </x:c>
      <x:c r="D23" s="2590" t="s">
        <x:v>174</x:v>
      </x:c>
      <x:c r="E23" s="2590" t="s">
        <x:v>535</x:v>
      </x:c>
      <x:c r="F23" s="2590" t="s">
        <x:v>619</x:v>
      </x:c>
      <x:c r="G23" s="2591" t="s">
        <x:v>567</x:v>
      </x:c>
      <x:c r="H23" s="2383">
        <x:v>300</x:v>
      </x:c>
      <x:c r="I23" s="2383">
        <x:v>0</x:v>
      </x:c>
      <x:c r="J23" s="2383" t="n">
        <x:f>SUM(H23:I23)</x:f>
        <x:v>300</x:v>
      </x:c>
      <x:c r="K23" s="2530" t="n">
        <x:f>IFERROR(H23/J23,0)</x:f>
        <x:v>1</x:v>
      </x:c>
      <x:c r="L23" s="2530" t="n">
        <x:f>IFERROR(I23/J23,0)</x:f>
        <x:v>0</x:v>
      </x:c>
      <x:c r="M23" s="2590" t="s">
        <x:v>130</x:v>
      </x:c>
      <x:c r="N23" s="2590" t="s">
        <x:v>175</x:v>
      </x:c>
      <x:c r="O23" s="2590" t="s">
        <x:v>133</x:v>
      </x:c>
      <x:c r="P23" s="2581" t="s">
        <x:v>620</x:v>
      </x:c>
      <x:c r="Q23" s="1155"/>
    </x:row>
    <x:row r="24" ht="36" customHeight="1">
      <x:c r="A24" s="2796">
        <x:v>45566</x:v>
      </x:c>
      <x:c r="B24" s="2797">
        <x:v>45657</x:v>
      </x:c>
      <x:c r="C24" s="2590" t="s">
        <x:v>534</x:v>
      </x:c>
      <x:c r="D24" s="2590" t="s">
        <x:v>174</x:v>
      </x:c>
      <x:c r="E24" s="2590" t="s">
        <x:v>535</x:v>
      </x:c>
      <x:c r="F24" s="2590" t="s">
        <x:v>619</x:v>
      </x:c>
      <x:c r="G24" s="2591" t="s">
        <x:v>569</x:v>
      </x:c>
      <x:c r="H24" s="2383">
        <x:v>112</x:v>
      </x:c>
      <x:c r="I24" s="2383">
        <x:v>103</x:v>
      </x:c>
      <x:c r="J24" s="2383" t="n">
        <x:f>SUM(H24:I24)</x:f>
        <x:v>215</x:v>
      </x:c>
      <x:c r="K24" s="2530" t="n">
        <x:f>IFERROR(H24/J24,0)</x:f>
        <x:v>0.5209302325581395</x:v>
      </x:c>
      <x:c r="L24" s="2530" t="n">
        <x:f>IFERROR(I24/J24,0)</x:f>
        <x:v>0.4790697674418605</x:v>
      </x:c>
      <x:c r="M24" s="2590" t="s">
        <x:v>130</x:v>
      </x:c>
      <x:c r="N24" s="2590" t="s">
        <x:v>175</x:v>
      </x:c>
      <x:c r="O24" s="2590" t="s">
        <x:v>133</x:v>
      </x:c>
      <x:c r="P24" s="2581" t="s">
        <x:v>620</x:v>
      </x:c>
      <x:c r="Q24" s="1155"/>
    </x:row>
    <x:row r="25" ht="36" customHeight="1">
      <x:c r="A25" s="2796">
        <x:v>45566</x:v>
      </x:c>
      <x:c r="B25" s="2797">
        <x:v>45657</x:v>
      </x:c>
      <x:c r="C25" s="2590" t="s">
        <x:v>534</x:v>
      </x:c>
      <x:c r="D25" s="2590" t="s">
        <x:v>174</x:v>
      </x:c>
      <x:c r="E25" s="2590" t="s">
        <x:v>535</x:v>
      </x:c>
      <x:c r="F25" s="2590" t="s">
        <x:v>619</x:v>
      </x:c>
      <x:c r="G25" s="2591" t="s">
        <x:v>568</x:v>
      </x:c>
      <x:c r="H25" s="2383">
        <x:v>36</x:v>
      </x:c>
      <x:c r="I25" s="2383">
        <x:v>192</x:v>
      </x:c>
      <x:c r="J25" s="2383" t="n">
        <x:f>SUM(H25:I25)</x:f>
        <x:v>228</x:v>
      </x:c>
      <x:c r="K25" s="2530" t="n">
        <x:f>IFERROR(H25/J25,0)</x:f>
        <x:v>0.15789473684210525</x:v>
      </x:c>
      <x:c r="L25" s="2530" t="n">
        <x:f>IFERROR(I25/J25,0)</x:f>
        <x:v>0.8421052631578947</x:v>
      </x:c>
      <x:c r="M25" s="2590" t="s">
        <x:v>130</x:v>
      </x:c>
      <x:c r="N25" s="2590" t="s">
        <x:v>175</x:v>
      </x:c>
      <x:c r="O25" s="2590" t="s">
        <x:v>133</x:v>
      </x:c>
      <x:c r="P25" s="2581" t="s">
        <x:v>620</x:v>
      </x:c>
      <x:c r="Q25" s="1155"/>
    </x:row>
    <x:row r="26" ht="36" customHeight="1">
      <x:c r="A26" s="2796">
        <x:v>45566</x:v>
      </x:c>
      <x:c r="B26" s="2797">
        <x:v>45657</x:v>
      </x:c>
      <x:c r="C26" s="2590" t="s">
        <x:v>534</x:v>
      </x:c>
      <x:c r="D26" s="2590" t="s">
        <x:v>174</x:v>
      </x:c>
      <x:c r="E26" s="2590" t="s">
        <x:v>535</x:v>
      </x:c>
      <x:c r="F26" s="2590" t="s">
        <x:v>621</x:v>
      </x:c>
      <x:c r="G26" s="2591" t="s">
        <x:v>577</x:v>
      </x:c>
      <x:c r="H26" s="2383">
        <x:v>364</x:v>
      </x:c>
      <x:c r="I26" s="2383">
        <x:v>599</x:v>
      </x:c>
      <x:c r="J26" s="2383" t="n">
        <x:f>SUM(H26:I26)</x:f>
        <x:v>963</x:v>
      </x:c>
      <x:c r="K26" s="2530" t="n">
        <x:f>IFERROR(H26/J26,0)</x:f>
        <x:v>0.37798546209761164</x:v>
      </x:c>
      <x:c r="L26" s="2530" t="n">
        <x:f>IFERROR(I26/J26,0)</x:f>
        <x:v>0.6220145379023884</x:v>
      </x:c>
      <x:c r="M26" s="2590" t="s">
        <x:v>130</x:v>
      </x:c>
      <x:c r="N26" s="2590" t="s">
        <x:v>175</x:v>
      </x:c>
      <x:c r="O26" s="2590" t="s">
        <x:v>133</x:v>
      </x:c>
      <x:c r="P26" s="2581" t="s">
        <x:v>620</x:v>
      </x:c>
      <x:c r="Q26" s="1155"/>
    </x:row>
    <x:row r="27" ht="36" customHeight="1">
      <x:c r="A27" s="2796">
        <x:v>45566</x:v>
      </x:c>
      <x:c r="B27" s="2797">
        <x:v>45657</x:v>
      </x:c>
      <x:c r="C27" s="2590" t="s">
        <x:v>534</x:v>
      </x:c>
      <x:c r="D27" s="2590" t="s">
        <x:v>174</x:v>
      </x:c>
      <x:c r="E27" s="2590" t="s">
        <x:v>535</x:v>
      </x:c>
      <x:c r="F27" s="2590" t="s">
        <x:v>621</x:v>
      </x:c>
      <x:c r="G27" s="2591" t="s">
        <x:v>569</x:v>
      </x:c>
      <x:c r="H27" s="2383">
        <x:v>161</x:v>
      </x:c>
      <x:c r="I27" s="2383">
        <x:v>158</x:v>
      </x:c>
      <x:c r="J27" s="2383" t="n">
        <x:f>SUM(H27:I27)</x:f>
        <x:v>319</x:v>
      </x:c>
      <x:c r="K27" s="2530" t="n">
        <x:f>IFERROR(H27/J27,0)</x:f>
        <x:v>0.5047021943573667</x:v>
      </x:c>
      <x:c r="L27" s="2530" t="n">
        <x:f>IFERROR(I27/J27,0)</x:f>
        <x:v>0.4952978056426332</x:v>
      </x:c>
      <x:c r="M27" s="2590" t="s">
        <x:v>130</x:v>
      </x:c>
      <x:c r="N27" s="2590" t="s">
        <x:v>175</x:v>
      </x:c>
      <x:c r="O27" s="2590" t="s">
        <x:v>133</x:v>
      </x:c>
      <x:c r="P27" s="2581" t="s">
        <x:v>620</x:v>
      </x:c>
      <x:c r="Q27" s="1155"/>
    </x:row>
    <x:row r="28" ht="36" customHeight="1">
      <x:c r="A28" s="2796">
        <x:v>45566</x:v>
      </x:c>
      <x:c r="B28" s="2797">
        <x:v>45657</x:v>
      </x:c>
      <x:c r="C28" s="2590" t="s">
        <x:v>534</x:v>
      </x:c>
      <x:c r="D28" s="2590" t="s">
        <x:v>174</x:v>
      </x:c>
      <x:c r="E28" s="2590" t="s">
        <x:v>535</x:v>
      </x:c>
      <x:c r="F28" s="2590" t="s">
        <x:v>621</x:v>
      </x:c>
      <x:c r="G28" s="2591" t="s">
        <x:v>564</x:v>
      </x:c>
      <x:c r="H28" s="2383">
        <x:v>30</x:v>
      </x:c>
      <x:c r="I28" s="2383">
        <x:v>95</x:v>
      </x:c>
      <x:c r="J28" s="2383" t="n">
        <x:f>SUM(H28:I28)</x:f>
        <x:v>125</x:v>
      </x:c>
      <x:c r="K28" s="2530" t="n">
        <x:f>IFERROR(H28/J28,0)</x:f>
        <x:v>0.24</x:v>
      </x:c>
      <x:c r="L28" s="2530" t="n">
        <x:f>IFERROR(I28/J28,0)</x:f>
        <x:v>0.76</x:v>
      </x:c>
      <x:c r="M28" s="2590" t="s">
        <x:v>130</x:v>
      </x:c>
      <x:c r="N28" s="2590" t="s">
        <x:v>175</x:v>
      </x:c>
      <x:c r="O28" s="2590" t="s">
        <x:v>133</x:v>
      </x:c>
      <x:c r="P28" s="2581" t="s">
        <x:v>620</x:v>
      </x:c>
      <x:c r="Q28" s="1155"/>
    </x:row>
    <x:row r="29" ht="36" customHeight="1">
      <x:c r="A29" s="2796">
        <x:v>45566</x:v>
      </x:c>
      <x:c r="B29" s="2797">
        <x:v>45657</x:v>
      </x:c>
      <x:c r="C29" s="2590" t="s">
        <x:v>534</x:v>
      </x:c>
      <x:c r="D29" s="2590" t="s">
        <x:v>174</x:v>
      </x:c>
      <x:c r="E29" s="2590" t="s">
        <x:v>535</x:v>
      </x:c>
      <x:c r="F29" s="2590" t="s">
        <x:v>621</x:v>
      </x:c>
      <x:c r="G29" s="2591" t="s">
        <x:v>373</x:v>
      </x:c>
      <x:c r="H29" s="2383">
        <x:v>33</x:v>
      </x:c>
      <x:c r="I29" s="2383">
        <x:v>32</x:v>
      </x:c>
      <x:c r="J29" s="2383" t="n">
        <x:f>SUM(H29:I29)</x:f>
        <x:v>65</x:v>
      </x:c>
      <x:c r="K29" s="2530" t="n">
        <x:f>IFERROR(H29/J29,0)</x:f>
        <x:v>0.5076923076923077</x:v>
      </x:c>
      <x:c r="L29" s="2530" t="n">
        <x:f>IFERROR(I29/J29,0)</x:f>
        <x:v>0.49230769230769234</x:v>
      </x:c>
      <x:c r="M29" s="2590" t="s">
        <x:v>130</x:v>
      </x:c>
      <x:c r="N29" s="2590" t="s">
        <x:v>175</x:v>
      </x:c>
      <x:c r="O29" s="2590" t="s">
        <x:v>133</x:v>
      </x:c>
      <x:c r="P29" s="2581" t="s">
        <x:v>620</x:v>
      </x:c>
      <x:c r="Q29" s="1155"/>
    </x:row>
    <x:row r="30" ht="36" customHeight="1">
      <x:c r="A30" s="2796">
        <x:v>45566</x:v>
      </x:c>
      <x:c r="B30" s="2797">
        <x:v>45657</x:v>
      </x:c>
      <x:c r="C30" s="2590" t="s">
        <x:v>534</x:v>
      </x:c>
      <x:c r="D30" s="2590" t="s">
        <x:v>174</x:v>
      </x:c>
      <x:c r="E30" s="2590" t="s">
        <x:v>535</x:v>
      </x:c>
      <x:c r="F30" s="2590" t="s">
        <x:v>621</x:v>
      </x:c>
      <x:c r="G30" s="2591" t="s">
        <x:v>592</x:v>
      </x:c>
      <x:c r="H30" s="2383">
        <x:v>26</x:v>
      </x:c>
      <x:c r="I30" s="2383">
        <x:v>0</x:v>
      </x:c>
      <x:c r="J30" s="2383" t="n">
        <x:f>SUM(H30:I30)</x:f>
        <x:v>26</x:v>
      </x:c>
      <x:c r="K30" s="2530" t="n">
        <x:f>IFERROR(H30/J30,0)</x:f>
        <x:v>1</x:v>
      </x:c>
      <x:c r="L30" s="2530" t="n">
        <x:f>IFERROR(I30/J30,0)</x:f>
        <x:v>0</x:v>
      </x:c>
      <x:c r="M30" s="2590" t="s">
        <x:v>130</x:v>
      </x:c>
      <x:c r="N30" s="2590" t="s">
        <x:v>175</x:v>
      </x:c>
      <x:c r="O30" s="2590" t="s">
        <x:v>133</x:v>
      </x:c>
      <x:c r="P30" s="2581" t="s">
        <x:v>620</x:v>
      </x:c>
      <x:c r="Q30" s="1155"/>
    </x:row>
    <x:row r="31" ht="36" customHeight="1">
      <x:c r="A31" s="2796">
        <x:v>45566</x:v>
      </x:c>
      <x:c r="B31" s="2797">
        <x:v>45657</x:v>
      </x:c>
      <x:c r="C31" s="2590" t="s">
        <x:v>534</x:v>
      </x:c>
      <x:c r="D31" s="2590" t="s">
        <x:v>174</x:v>
      </x:c>
      <x:c r="E31" s="2590" t="s">
        <x:v>535</x:v>
      </x:c>
      <x:c r="F31" s="2590" t="s">
        <x:v>621</x:v>
      </x:c>
      <x:c r="G31" s="2591" t="s">
        <x:v>565</x:v>
      </x:c>
      <x:c r="H31" s="2383">
        <x:v>20</x:v>
      </x:c>
      <x:c r="I31" s="2383">
        <x:v>0</x:v>
      </x:c>
      <x:c r="J31" s="2383" t="n">
        <x:f>SUM(H31:I31)</x:f>
        <x:v>20</x:v>
      </x:c>
      <x:c r="K31" s="2530" t="n">
        <x:f>IFERROR(H31/J31,0)</x:f>
        <x:v>1</x:v>
      </x:c>
      <x:c r="L31" s="2530" t="n">
        <x:f>IFERROR(I31/J31,0)</x:f>
        <x:v>0</x:v>
      </x:c>
      <x:c r="M31" s="2590" t="s">
        <x:v>130</x:v>
      </x:c>
      <x:c r="N31" s="2590" t="s">
        <x:v>175</x:v>
      </x:c>
      <x:c r="O31" s="2590" t="s">
        <x:v>133</x:v>
      </x:c>
      <x:c r="P31" s="2581" t="s">
        <x:v>620</x:v>
      </x:c>
      <x:c r="Q31" s="1155"/>
    </x:row>
    <x:row r="32" ht="36" customHeight="1">
      <x:c r="A32" s="2796">
        <x:v>45566</x:v>
      </x:c>
      <x:c r="B32" s="2797">
        <x:v>45657</x:v>
      </x:c>
      <x:c r="C32" s="2590" t="s">
        <x:v>534</x:v>
      </x:c>
      <x:c r="D32" s="2590" t="s">
        <x:v>174</x:v>
      </x:c>
      <x:c r="E32" s="2590" t="s">
        <x:v>535</x:v>
      </x:c>
      <x:c r="F32" s="2590" t="s">
        <x:v>621</x:v>
      </x:c>
      <x:c r="G32" s="2591" t="s">
        <x:v>567</x:v>
      </x:c>
      <x:c r="H32" s="2383">
        <x:v>18</x:v>
      </x:c>
      <x:c r="I32" s="2383">
        <x:v>0</x:v>
      </x:c>
      <x:c r="J32" s="2383" t="n">
        <x:f>SUM(H32:I32)</x:f>
        <x:v>18</x:v>
      </x:c>
      <x:c r="K32" s="2530" t="n">
        <x:f>IFERROR(H32/J32,0)</x:f>
        <x:v>1</x:v>
      </x:c>
      <x:c r="L32" s="2530" t="n">
        <x:f>IFERROR(I32/J32,0)</x:f>
        <x:v>0</x:v>
      </x:c>
      <x:c r="M32" s="2590" t="s">
        <x:v>130</x:v>
      </x:c>
      <x:c r="N32" s="2590" t="s">
        <x:v>175</x:v>
      </x:c>
      <x:c r="O32" s="2590" t="s">
        <x:v>133</x:v>
      </x:c>
      <x:c r="P32" s="2581" t="s">
        <x:v>620</x:v>
      </x:c>
      <x:c r="Q32" s="1155"/>
    </x:row>
    <x:row r="33" ht="36" customHeight="1">
      <x:c r="A33" s="2796">
        <x:v>45566</x:v>
      </x:c>
      <x:c r="B33" s="2797">
        <x:v>45657</x:v>
      </x:c>
      <x:c r="C33" s="2590" t="s">
        <x:v>534</x:v>
      </x:c>
      <x:c r="D33" s="2590" t="s">
        <x:v>174</x:v>
      </x:c>
      <x:c r="E33" s="2590" t="s">
        <x:v>535</x:v>
      </x:c>
      <x:c r="F33" s="2590" t="s">
        <x:v>621</x:v>
      </x:c>
      <x:c r="G33" s="2591" t="s">
        <x:v>568</x:v>
      </x:c>
      <x:c r="H33" s="2383">
        <x:v>4</x:v>
      </x:c>
      <x:c r="I33" s="2383">
        <x:v>8</x:v>
      </x:c>
      <x:c r="J33" s="2383" t="n">
        <x:f>SUM(H33:I33)</x:f>
        <x:v>12</x:v>
      </x:c>
      <x:c r="K33" s="2530" t="n">
        <x:f>IFERROR(H33/J33,0)</x:f>
        <x:v>0.3333333333333333</x:v>
      </x:c>
      <x:c r="L33" s="2530" t="n">
        <x:f>IFERROR(I33/J33,0)</x:f>
        <x:v>0.6666666666666666</x:v>
      </x:c>
      <x:c r="M33" s="2590" t="s">
        <x:v>130</x:v>
      </x:c>
      <x:c r="N33" s="2590" t="s">
        <x:v>175</x:v>
      </x:c>
      <x:c r="O33" s="2590" t="s">
        <x:v>133</x:v>
      </x:c>
      <x:c r="P33" s="2581" t="s">
        <x:v>620</x:v>
      </x:c>
      <x:c r="Q33" s="1155"/>
    </x:row>
    <x:row r="34" ht="36" customHeight="1">
      <x:c r="A34" s="2796">
        <x:v>45658</x:v>
      </x:c>
      <x:c r="B34" s="2797">
        <x:v>45747</x:v>
      </x:c>
      <x:c r="C34" s="2590" t="s">
        <x:v>534</x:v>
      </x:c>
      <x:c r="D34" s="2590" t="s">
        <x:v>179</x:v>
      </x:c>
      <x:c r="E34" s="2590" t="s">
        <x:v>535</x:v>
      </x:c>
      <x:c r="F34" s="2590" t="s">
        <x:v>619</x:v>
      </x:c>
      <x:c r="G34" s="2591" t="s">
        <x:v>373</x:v>
      </x:c>
      <x:c r="H34" s="2383">
        <x:v>1639</x:v>
      </x:c>
      <x:c r="I34" s="2383">
        <x:v>5831</x:v>
      </x:c>
      <x:c r="J34" s="2383" t="n">
        <x:f>SUM(H34:I34)</x:f>
        <x:v>7470</x:v>
      </x:c>
      <x:c r="K34" s="2530" t="n">
        <x:f>IFERROR(H34/J34,0)</x:f>
        <x:v>0.21941097724230255</x:v>
      </x:c>
      <x:c r="L34" s="2530" t="n">
        <x:f>IFERROR(I34/J34,0)</x:f>
        <x:v>0.7805890227576975</x:v>
      </x:c>
      <x:c r="M34" s="2590" t="s">
        <x:v>130</x:v>
      </x:c>
      <x:c r="N34" s="2590" t="s">
        <x:v>181</x:v>
      </x:c>
      <x:c r="O34" s="2590" t="s">
        <x:v>133</x:v>
      </x:c>
      <x:c r="P34" s="2581" t="s">
        <x:v>620</x:v>
      </x:c>
      <x:c r="Q34" s="1155"/>
    </x:row>
    <x:row r="35" ht="36" customHeight="1">
      <x:c r="A35" s="2796">
        <x:v>45658</x:v>
      </x:c>
      <x:c r="B35" s="2797">
        <x:v>45747</x:v>
      </x:c>
      <x:c r="C35" s="2590" t="s">
        <x:v>534</x:v>
      </x:c>
      <x:c r="D35" s="2590" t="s">
        <x:v>179</x:v>
      </x:c>
      <x:c r="E35" s="2590" t="s">
        <x:v>535</x:v>
      </x:c>
      <x:c r="F35" s="2590" t="s">
        <x:v>619</x:v>
      </x:c>
      <x:c r="G35" s="2591" t="s">
        <x:v>577</x:v>
      </x:c>
      <x:c r="H35" s="2383">
        <x:v>1329</x:v>
      </x:c>
      <x:c r="I35" s="2383">
        <x:v>2746</x:v>
      </x:c>
      <x:c r="J35" s="2383" t="n">
        <x:f>SUM(H35:I35)</x:f>
        <x:v>4075</x:v>
      </x:c>
      <x:c r="K35" s="2530" t="n">
        <x:f>IFERROR(H35/J35,0)</x:f>
        <x:v>0.3261349693251534</x:v>
      </x:c>
      <x:c r="L35" s="2530" t="n">
        <x:f>IFERROR(I35/J35,0)</x:f>
        <x:v>0.6738650306748466</x:v>
      </x:c>
      <x:c r="M35" s="2590" t="s">
        <x:v>130</x:v>
      </x:c>
      <x:c r="N35" s="2590" t="s">
        <x:v>181</x:v>
      </x:c>
      <x:c r="O35" s="2590" t="s">
        <x:v>133</x:v>
      </x:c>
      <x:c r="P35" s="2581" t="s">
        <x:v>620</x:v>
      </x:c>
      <x:c r="Q35" s="1155"/>
    </x:row>
    <x:row r="36" ht="36" customHeight="1">
      <x:c r="A36" s="2796">
        <x:v>45658</x:v>
      </x:c>
      <x:c r="B36" s="2797">
        <x:v>45747</x:v>
      </x:c>
      <x:c r="C36" s="2590" t="s">
        <x:v>534</x:v>
      </x:c>
      <x:c r="D36" s="2590" t="s">
        <x:v>179</x:v>
      </x:c>
      <x:c r="E36" s="2590" t="s">
        <x:v>535</x:v>
      </x:c>
      <x:c r="F36" s="2590" t="s">
        <x:v>619</x:v>
      </x:c>
      <x:c r="G36" s="2591" t="s">
        <x:v>564</x:v>
      </x:c>
      <x:c r="H36" s="2383">
        <x:v>219</x:v>
      </x:c>
      <x:c r="I36" s="2383">
        <x:v>1399</x:v>
      </x:c>
      <x:c r="J36" s="2383" t="n">
        <x:f>SUM(H36:I36)</x:f>
        <x:v>1618</x:v>
      </x:c>
      <x:c r="K36" s="2530" t="n">
        <x:f>IFERROR(H36/J36,0)</x:f>
        <x:v>0.13535228677379482</x:v>
      </x:c>
      <x:c r="L36" s="2530" t="n">
        <x:f>IFERROR(I36/J36,0)</x:f>
        <x:v>0.8646477132262052</x:v>
      </x:c>
      <x:c r="M36" s="2590" t="s">
        <x:v>130</x:v>
      </x:c>
      <x:c r="N36" s="2590" t="s">
        <x:v>181</x:v>
      </x:c>
      <x:c r="O36" s="2590" t="s">
        <x:v>133</x:v>
      </x:c>
      <x:c r="P36" s="2581" t="s">
        <x:v>620</x:v>
      </x:c>
      <x:c r="Q36" s="1155"/>
    </x:row>
    <x:row r="37" ht="36" customHeight="1">
      <x:c r="A37" s="2796">
        <x:v>45658</x:v>
      </x:c>
      <x:c r="B37" s="2797">
        <x:v>45747</x:v>
      </x:c>
      <x:c r="C37" s="2590" t="s">
        <x:v>534</x:v>
      </x:c>
      <x:c r="D37" s="2590" t="s">
        <x:v>179</x:v>
      </x:c>
      <x:c r="E37" s="2590" t="s">
        <x:v>535</x:v>
      </x:c>
      <x:c r="F37" s="2590" t="s">
        <x:v>619</x:v>
      </x:c>
      <x:c r="G37" s="2591" t="s">
        <x:v>565</x:v>
      </x:c>
      <x:c r="H37" s="2383">
        <x:v>609</x:v>
      </x:c>
      <x:c r="I37" s="2383">
        <x:v>6</x:v>
      </x:c>
      <x:c r="J37" s="2383" t="n">
        <x:f>SUM(H37:I37)</x:f>
        <x:v>615</x:v>
      </x:c>
      <x:c r="K37" s="2530" t="n">
        <x:f>IFERROR(H37/J37,0)</x:f>
        <x:v>0.9902439024390244</x:v>
      </x:c>
      <x:c r="L37" s="2530" t="n">
        <x:f>IFERROR(I37/J37,0)</x:f>
        <x:v>0.00975609756097561</x:v>
      </x:c>
      <x:c r="M37" s="2590" t="s">
        <x:v>130</x:v>
      </x:c>
      <x:c r="N37" s="2590" t="s">
        <x:v>181</x:v>
      </x:c>
      <x:c r="O37" s="2590" t="s">
        <x:v>133</x:v>
      </x:c>
      <x:c r="P37" s="2581" t="s">
        <x:v>620</x:v>
      </x:c>
      <x:c r="Q37" s="1155"/>
    </x:row>
    <x:row r="38" ht="36" customHeight="1">
      <x:c r="A38" s="2796">
        <x:v>45658</x:v>
      </x:c>
      <x:c r="B38" s="2797">
        <x:v>45747</x:v>
      </x:c>
      <x:c r="C38" s="2590" t="s">
        <x:v>534</x:v>
      </x:c>
      <x:c r="D38" s="2590" t="s">
        <x:v>179</x:v>
      </x:c>
      <x:c r="E38" s="2590" t="s">
        <x:v>535</x:v>
      </x:c>
      <x:c r="F38" s="2590" t="s">
        <x:v>619</x:v>
      </x:c>
      <x:c r="G38" s="2591" t="s">
        <x:v>566</x:v>
      </x:c>
      <x:c r="H38" s="2383">
        <x:v>371</x:v>
      </x:c>
      <x:c r="I38" s="2383">
        <x:v>0</x:v>
      </x:c>
      <x:c r="J38" s="2383" t="n">
        <x:f>SUM(H38:I38)</x:f>
        <x:v>371</x:v>
      </x:c>
      <x:c r="K38" s="2530" t="n">
        <x:f>IFERROR(H38/J38,0)</x:f>
        <x:v>1</x:v>
      </x:c>
      <x:c r="L38" s="2530" t="n">
        <x:f>IFERROR(I38/J38,0)</x:f>
        <x:v>0</x:v>
      </x:c>
      <x:c r="M38" s="2590" t="s">
        <x:v>130</x:v>
      </x:c>
      <x:c r="N38" s="2590" t="s">
        <x:v>181</x:v>
      </x:c>
      <x:c r="O38" s="2590" t="s">
        <x:v>133</x:v>
      </x:c>
      <x:c r="P38" s="2581" t="s">
        <x:v>620</x:v>
      </x:c>
      <x:c r="Q38" s="1155"/>
    </x:row>
    <x:row r="39" ht="36" customHeight="1">
      <x:c r="A39" s="2796">
        <x:v>45658</x:v>
      </x:c>
      <x:c r="B39" s="2797">
        <x:v>45747</x:v>
      </x:c>
      <x:c r="C39" s="2590" t="s">
        <x:v>534</x:v>
      </x:c>
      <x:c r="D39" s="2590" t="s">
        <x:v>179</x:v>
      </x:c>
      <x:c r="E39" s="2590" t="s">
        <x:v>535</x:v>
      </x:c>
      <x:c r="F39" s="2590" t="s">
        <x:v>619</x:v>
      </x:c>
      <x:c r="G39" s="2591" t="s">
        <x:v>567</x:v>
      </x:c>
      <x:c r="H39" s="2383">
        <x:v>253</x:v>
      </x:c>
      <x:c r="I39" s="2383">
        <x:v>1</x:v>
      </x:c>
      <x:c r="J39" s="2383" t="n">
        <x:f>SUM(H39:I39)</x:f>
        <x:v>254</x:v>
      </x:c>
      <x:c r="K39" s="2530" t="n">
        <x:f>IFERROR(H39/J39,0)</x:f>
        <x:v>0.9960629921259843</x:v>
      </x:c>
      <x:c r="L39" s="2530" t="n">
        <x:f>IFERROR(I39/J39,0)</x:f>
        <x:v>0.003937007874015748</x:v>
      </x:c>
      <x:c r="M39" s="2590" t="s">
        <x:v>130</x:v>
      </x:c>
      <x:c r="N39" s="2590" t="s">
        <x:v>181</x:v>
      </x:c>
      <x:c r="O39" s="2590" t="s">
        <x:v>133</x:v>
      </x:c>
      <x:c r="P39" s="2581" t="s">
        <x:v>620</x:v>
      </x:c>
      <x:c r="Q39" s="1155"/>
    </x:row>
    <x:row r="40" ht="36" customHeight="1">
      <x:c r="A40" s="2796">
        <x:v>45658</x:v>
      </x:c>
      <x:c r="B40" s="2797">
        <x:v>45747</x:v>
      </x:c>
      <x:c r="C40" s="2590" t="s">
        <x:v>534</x:v>
      </x:c>
      <x:c r="D40" s="2590" t="s">
        <x:v>179</x:v>
      </x:c>
      <x:c r="E40" s="2590" t="s">
        <x:v>535</x:v>
      </x:c>
      <x:c r="F40" s="2590" t="s">
        <x:v>619</x:v>
      </x:c>
      <x:c r="G40" s="2591" t="s">
        <x:v>569</x:v>
      </x:c>
      <x:c r="H40" s="2383">
        <x:v>131</x:v>
      </x:c>
      <x:c r="I40" s="2383">
        <x:v>105</x:v>
      </x:c>
      <x:c r="J40" s="2383" t="n">
        <x:f>SUM(H40:I40)</x:f>
        <x:v>236</x:v>
      </x:c>
      <x:c r="K40" s="2530" t="n">
        <x:f>IFERROR(H40/J40,0)</x:f>
        <x:v>0.5550847457627118</x:v>
      </x:c>
      <x:c r="L40" s="2530" t="n">
        <x:f>IFERROR(I40/J40,0)</x:f>
        <x:v>0.4449152542372881</x:v>
      </x:c>
      <x:c r="M40" s="2590" t="s">
        <x:v>130</x:v>
      </x:c>
      <x:c r="N40" s="2590" t="s">
        <x:v>181</x:v>
      </x:c>
      <x:c r="O40" s="2590" t="s">
        <x:v>133</x:v>
      </x:c>
      <x:c r="P40" s="2581" t="s">
        <x:v>620</x:v>
      </x:c>
      <x:c r="Q40" s="1155"/>
    </x:row>
    <x:row r="41" ht="36" customHeight="1">
      <x:c r="A41" s="2796">
        <x:v>45658</x:v>
      </x:c>
      <x:c r="B41" s="2797">
        <x:v>45747</x:v>
      </x:c>
      <x:c r="C41" s="2590" t="s">
        <x:v>534</x:v>
      </x:c>
      <x:c r="D41" s="2590" t="s">
        <x:v>179</x:v>
      </x:c>
      <x:c r="E41" s="2590" t="s">
        <x:v>535</x:v>
      </x:c>
      <x:c r="F41" s="2590" t="s">
        <x:v>619</x:v>
      </x:c>
      <x:c r="G41" s="2591" t="s">
        <x:v>568</x:v>
      </x:c>
      <x:c r="H41" s="2383">
        <x:v>40</x:v>
      </x:c>
      <x:c r="I41" s="2383">
        <x:v>120</x:v>
      </x:c>
      <x:c r="J41" s="2383" t="n">
        <x:f>SUM(H41:I41)</x:f>
        <x:v>160</x:v>
      </x:c>
      <x:c r="K41" s="2530" t="n">
        <x:f>IFERROR(H41/J41,0)</x:f>
        <x:v>0.25</x:v>
      </x:c>
      <x:c r="L41" s="2530" t="n">
        <x:f>IFERROR(I41/J41,0)</x:f>
        <x:v>0.75</x:v>
      </x:c>
      <x:c r="M41" s="2590" t="s">
        <x:v>130</x:v>
      </x:c>
      <x:c r="N41" s="2590" t="s">
        <x:v>181</x:v>
      </x:c>
      <x:c r="O41" s="2590" t="s">
        <x:v>133</x:v>
      </x:c>
      <x:c r="P41" s="2581" t="s">
        <x:v>620</x:v>
      </x:c>
      <x:c r="Q41" s="1155"/>
    </x:row>
    <x:row r="42" ht="36" customHeight="1">
      <x:c r="A42" s="2796">
        <x:v>45658</x:v>
      </x:c>
      <x:c r="B42" s="2797">
        <x:v>45747</x:v>
      </x:c>
      <x:c r="C42" s="2590" t="s">
        <x:v>534</x:v>
      </x:c>
      <x:c r="D42" s="2590" t="s">
        <x:v>179</x:v>
      </x:c>
      <x:c r="E42" s="2590" t="s">
        <x:v>535</x:v>
      </x:c>
      <x:c r="F42" s="2590" t="s">
        <x:v>621</x:v>
      </x:c>
      <x:c r="G42" s="2591" t="s">
        <x:v>577</x:v>
      </x:c>
      <x:c r="H42" s="2383">
        <x:v>390</x:v>
      </x:c>
      <x:c r="I42" s="2383">
        <x:v>546</x:v>
      </x:c>
      <x:c r="J42" s="2383" t="n">
        <x:f>SUM(H42:I42)</x:f>
        <x:v>936</x:v>
      </x:c>
      <x:c r="K42" s="2530" t="n">
        <x:f>IFERROR(H42/J42,0)</x:f>
        <x:v>0.4166666666666667</x:v>
      </x:c>
      <x:c r="L42" s="2530" t="n">
        <x:f>IFERROR(I42/J42,0)</x:f>
        <x:v>0.5833333333333334</x:v>
      </x:c>
      <x:c r="M42" s="2590" t="s">
        <x:v>130</x:v>
      </x:c>
      <x:c r="N42" s="2590" t="s">
        <x:v>181</x:v>
      </x:c>
      <x:c r="O42" s="2590" t="s">
        <x:v>133</x:v>
      </x:c>
      <x:c r="P42" s="2581" t="s">
        <x:v>620</x:v>
      </x:c>
      <x:c r="Q42" s="1155"/>
    </x:row>
    <x:row r="43" ht="36" customHeight="1">
      <x:c r="A43" s="2796">
        <x:v>45658</x:v>
      </x:c>
      <x:c r="B43" s="2797">
        <x:v>45747</x:v>
      </x:c>
      <x:c r="C43" s="2590" t="s">
        <x:v>534</x:v>
      </x:c>
      <x:c r="D43" s="2590" t="s">
        <x:v>179</x:v>
      </x:c>
      <x:c r="E43" s="2590" t="s">
        <x:v>535</x:v>
      </x:c>
      <x:c r="F43" s="2590" t="s">
        <x:v>621</x:v>
      </x:c>
      <x:c r="G43" s="2591" t="s">
        <x:v>569</x:v>
      </x:c>
      <x:c r="H43" s="2383">
        <x:v>171</x:v>
      </x:c>
      <x:c r="I43" s="2383">
        <x:v>191</x:v>
      </x:c>
      <x:c r="J43" s="2383" t="n">
        <x:f>SUM(H43:I43)</x:f>
        <x:v>362</x:v>
      </x:c>
      <x:c r="K43" s="2530" t="n">
        <x:f>IFERROR(H43/J43,0)</x:f>
        <x:v>0.4723756906077348</x:v>
      </x:c>
      <x:c r="L43" s="2530" t="n">
        <x:f>IFERROR(I43/J43,0)</x:f>
        <x:v>0.5276243093922652</x:v>
      </x:c>
      <x:c r="M43" s="2590" t="s">
        <x:v>130</x:v>
      </x:c>
      <x:c r="N43" s="2590" t="s">
        <x:v>181</x:v>
      </x:c>
      <x:c r="O43" s="2590" t="s">
        <x:v>133</x:v>
      </x:c>
      <x:c r="P43" s="2581" t="s">
        <x:v>620</x:v>
      </x:c>
      <x:c r="Q43" s="1155"/>
    </x:row>
    <x:row r="44" ht="36" customHeight="1">
      <x:c r="A44" s="2796">
        <x:v>45658</x:v>
      </x:c>
      <x:c r="B44" s="2797">
        <x:v>45747</x:v>
      </x:c>
      <x:c r="C44" s="2590" t="s">
        <x:v>534</x:v>
      </x:c>
      <x:c r="D44" s="2590" t="s">
        <x:v>179</x:v>
      </x:c>
      <x:c r="E44" s="2590" t="s">
        <x:v>535</x:v>
      </x:c>
      <x:c r="F44" s="2590" t="s">
        <x:v>621</x:v>
      </x:c>
      <x:c r="G44" s="2591" t="s">
        <x:v>564</x:v>
      </x:c>
      <x:c r="H44" s="2383">
        <x:v>38</x:v>
      </x:c>
      <x:c r="I44" s="2383">
        <x:v>77</x:v>
      </x:c>
      <x:c r="J44" s="2383" t="n">
        <x:f>SUM(H44:I44)</x:f>
        <x:v>115</x:v>
      </x:c>
      <x:c r="K44" s="2530" t="n">
        <x:f>IFERROR(H44/J44,0)</x:f>
        <x:v>0.33043478260869563</x:v>
      </x:c>
      <x:c r="L44" s="2530" t="n">
        <x:f>IFERROR(I44/J44,0)</x:f>
        <x:v>0.6695652173913044</x:v>
      </x:c>
      <x:c r="M44" s="2590" t="s">
        <x:v>130</x:v>
      </x:c>
      <x:c r="N44" s="2590" t="s">
        <x:v>181</x:v>
      </x:c>
      <x:c r="O44" s="2590" t="s">
        <x:v>133</x:v>
      </x:c>
      <x:c r="P44" s="2581" t="s">
        <x:v>620</x:v>
      </x:c>
      <x:c r="Q44" s="1155"/>
    </x:row>
    <x:row r="45" ht="36" customHeight="1">
      <x:c r="A45" s="2796">
        <x:v>45658</x:v>
      </x:c>
      <x:c r="B45" s="2797">
        <x:v>45747</x:v>
      </x:c>
      <x:c r="C45" s="2590" t="s">
        <x:v>534</x:v>
      </x:c>
      <x:c r="D45" s="2590" t="s">
        <x:v>179</x:v>
      </x:c>
      <x:c r="E45" s="2590" t="s">
        <x:v>535</x:v>
      </x:c>
      <x:c r="F45" s="2590" t="s">
        <x:v>621</x:v>
      </x:c>
      <x:c r="G45" s="2591" t="s">
        <x:v>373</x:v>
      </x:c>
      <x:c r="H45" s="2383">
        <x:v>27</x:v>
      </x:c>
      <x:c r="I45" s="2383">
        <x:v>33</x:v>
      </x:c>
      <x:c r="J45" s="2383" t="n">
        <x:f>SUM(H45:I45)</x:f>
        <x:v>60</x:v>
      </x:c>
      <x:c r="K45" s="2530" t="n">
        <x:f>IFERROR(H45/J45,0)</x:f>
        <x:v>0.45</x:v>
      </x:c>
      <x:c r="L45" s="2530" t="n">
        <x:f>IFERROR(I45/J45,0)</x:f>
        <x:v>0.55</x:v>
      </x:c>
      <x:c r="M45" s="2590" t="s">
        <x:v>130</x:v>
      </x:c>
      <x:c r="N45" s="2590" t="s">
        <x:v>181</x:v>
      </x:c>
      <x:c r="O45" s="2590" t="s">
        <x:v>133</x:v>
      </x:c>
      <x:c r="P45" s="2581" t="s">
        <x:v>620</x:v>
      </x:c>
      <x:c r="Q45" s="1155"/>
    </x:row>
    <x:row r="46" ht="36" customHeight="1">
      <x:c r="A46" s="2796">
        <x:v>45658</x:v>
      </x:c>
      <x:c r="B46" s="2797">
        <x:v>45747</x:v>
      </x:c>
      <x:c r="C46" s="2590" t="s">
        <x:v>534</x:v>
      </x:c>
      <x:c r="D46" s="2590" t="s">
        <x:v>179</x:v>
      </x:c>
      <x:c r="E46" s="2590" t="s">
        <x:v>535</x:v>
      </x:c>
      <x:c r="F46" s="2590" t="s">
        <x:v>621</x:v>
      </x:c>
      <x:c r="G46" s="2591" t="s">
        <x:v>592</x:v>
      </x:c>
      <x:c r="H46" s="2383">
        <x:v>38</x:v>
      </x:c>
      <x:c r="I46" s="2383">
        <x:v>1</x:v>
      </x:c>
      <x:c r="J46" s="2383" t="n">
        <x:f>SUM(H46:I46)</x:f>
        <x:v>39</x:v>
      </x:c>
      <x:c r="K46" s="2530" t="n">
        <x:f>IFERROR(H46/J46,0)</x:f>
        <x:v>0.9743589743589743</x:v>
      </x:c>
      <x:c r="L46" s="2530" t="n">
        <x:f>IFERROR(I46/J46,0)</x:f>
        <x:v>0.02564102564102564</x:v>
      </x:c>
      <x:c r="M46" s="2590" t="s">
        <x:v>130</x:v>
      </x:c>
      <x:c r="N46" s="2590" t="s">
        <x:v>181</x:v>
      </x:c>
      <x:c r="O46" s="2590" t="s">
        <x:v>133</x:v>
      </x:c>
      <x:c r="P46" s="2581" t="s">
        <x:v>620</x:v>
      </x:c>
      <x:c r="Q46" s="1155"/>
    </x:row>
    <x:row r="47" ht="36" customHeight="1">
      <x:c r="A47" s="2796">
        <x:v>45658</x:v>
      </x:c>
      <x:c r="B47" s="2797">
        <x:v>45747</x:v>
      </x:c>
      <x:c r="C47" s="2590" t="s">
        <x:v>534</x:v>
      </x:c>
      <x:c r="D47" s="2590" t="s">
        <x:v>179</x:v>
      </x:c>
      <x:c r="E47" s="2590" t="s">
        <x:v>535</x:v>
      </x:c>
      <x:c r="F47" s="2590" t="s">
        <x:v>621</x:v>
      </x:c>
      <x:c r="G47" s="2591" t="s">
        <x:v>565</x:v>
      </x:c>
      <x:c r="H47" s="2383">
        <x:v>31</x:v>
      </x:c>
      <x:c r="I47" s="2383">
        <x:v>0</x:v>
      </x:c>
      <x:c r="J47" s="2383" t="n">
        <x:f>SUM(H47:I47)</x:f>
        <x:v>31</x:v>
      </x:c>
      <x:c r="K47" s="2530" t="n">
        <x:f>IFERROR(H47/J47,0)</x:f>
        <x:v>1</x:v>
      </x:c>
      <x:c r="L47" s="2530" t="n">
        <x:f>IFERROR(I47/J47,0)</x:f>
        <x:v>0</x:v>
      </x:c>
      <x:c r="M47" s="2590" t="s">
        <x:v>130</x:v>
      </x:c>
      <x:c r="N47" s="2590" t="s">
        <x:v>181</x:v>
      </x:c>
      <x:c r="O47" s="2590" t="s">
        <x:v>133</x:v>
      </x:c>
      <x:c r="P47" s="2581" t="s">
        <x:v>620</x:v>
      </x:c>
      <x:c r="Q47" s="1155"/>
    </x:row>
    <x:row r="48" ht="36" customHeight="1">
      <x:c r="A48" s="2796">
        <x:v>45658</x:v>
      </x:c>
      <x:c r="B48" s="2797">
        <x:v>45747</x:v>
      </x:c>
      <x:c r="C48" s="2590" t="s">
        <x:v>534</x:v>
      </x:c>
      <x:c r="D48" s="2590" t="s">
        <x:v>179</x:v>
      </x:c>
      <x:c r="E48" s="2590" t="s">
        <x:v>535</x:v>
      </x:c>
      <x:c r="F48" s="2590" t="s">
        <x:v>621</x:v>
      </x:c>
      <x:c r="G48" s="2591" t="s">
        <x:v>567</x:v>
      </x:c>
      <x:c r="H48" s="2383">
        <x:v>19</x:v>
      </x:c>
      <x:c r="I48" s="2383">
        <x:v>0</x:v>
      </x:c>
      <x:c r="J48" s="2383" t="n">
        <x:f>SUM(H48:I48)</x:f>
        <x:v>19</x:v>
      </x:c>
      <x:c r="K48" s="2530" t="n">
        <x:f>IFERROR(H48/J48,0)</x:f>
        <x:v>1</x:v>
      </x:c>
      <x:c r="L48" s="2530" t="n">
        <x:f>IFERROR(I48/J48,0)</x:f>
        <x:v>0</x:v>
      </x:c>
      <x:c r="M48" s="2590" t="s">
        <x:v>130</x:v>
      </x:c>
      <x:c r="N48" s="2590" t="s">
        <x:v>181</x:v>
      </x:c>
      <x:c r="O48" s="2590" t="s">
        <x:v>133</x:v>
      </x:c>
      <x:c r="P48" s="2581" t="s">
        <x:v>620</x:v>
      </x:c>
      <x:c r="Q48" s="1155"/>
    </x:row>
    <x:row r="49" ht="36" customHeight="1">
      <x:c r="A49" s="2796">
        <x:v>45658</x:v>
      </x:c>
      <x:c r="B49" s="2797">
        <x:v>45747</x:v>
      </x:c>
      <x:c r="C49" s="2590" t="s">
        <x:v>534</x:v>
      </x:c>
      <x:c r="D49" s="2590" t="s">
        <x:v>179</x:v>
      </x:c>
      <x:c r="E49" s="2590" t="s">
        <x:v>535</x:v>
      </x:c>
      <x:c r="F49" s="2590" t="s">
        <x:v>621</x:v>
      </x:c>
      <x:c r="G49" s="2591" t="s">
        <x:v>568</x:v>
      </x:c>
      <x:c r="H49" s="2383">
        <x:v>0</x:v>
      </x:c>
      <x:c r="I49" s="2383">
        <x:v>4</x:v>
      </x:c>
      <x:c r="J49" s="2383" t="n">
        <x:f>SUM(H49:I49)</x:f>
        <x:v>4</x:v>
      </x:c>
      <x:c r="K49" s="2530" t="n">
        <x:f>IFERROR(H49/J49,0)</x:f>
        <x:v>0</x:v>
      </x:c>
      <x:c r="L49" s="2530" t="n">
        <x:f>IFERROR(I49/J49,0)</x:f>
        <x:v>1</x:v>
      </x:c>
      <x:c r="M49" s="2590" t="s">
        <x:v>130</x:v>
      </x:c>
      <x:c r="N49" s="2590" t="s">
        <x:v>181</x:v>
      </x:c>
      <x:c r="O49" s="2590" t="s">
        <x:v>133</x:v>
      </x:c>
      <x:c r="P49" s="2581" t="s">
        <x:v>620</x:v>
      </x:c>
      <x:c r="Q49" s="1155"/>
    </x:row>
    <x:row r="50" ht="36" customHeight="1">
      <x:c r="A50" s="2796">
        <x:v>45748</x:v>
      </x:c>
      <x:c r="B50" s="2797">
        <x:v>45838</x:v>
      </x:c>
      <x:c r="C50" s="2590" t="s">
        <x:v>534</x:v>
      </x:c>
      <x:c r="D50" s="2590" t="s">
        <x:v>185</x:v>
      </x:c>
      <x:c r="E50" s="2590" t="s">
        <x:v>535</x:v>
      </x:c>
      <x:c r="F50" s="2590" t="s">
        <x:v>619</x:v>
      </x:c>
      <x:c r="G50" s="2591" t="s">
        <x:v>373</x:v>
      </x:c>
      <x:c r="H50" s="2383">
        <x:v>1598</x:v>
      </x:c>
      <x:c r="I50" s="2383">
        <x:v>5623</x:v>
      </x:c>
      <x:c r="J50" s="2383" t="n">
        <x:f>SUM(H50:I50)</x:f>
        <x:v>7221</x:v>
      </x:c>
      <x:c r="K50" s="2530" t="n">
        <x:f>IFERROR(H50/J50,0)</x:f>
        <x:v>0.22129898905968703</x:v>
      </x:c>
      <x:c r="L50" s="2530" t="n">
        <x:f>IFERROR(I50/J50,0)</x:f>
        <x:v>0.778701010940313</x:v>
      </x:c>
      <x:c r="M50" s="2590" t="s">
        <x:v>130</x:v>
      </x:c>
      <x:c r="N50" s="2590" t="s">
        <x:v>186</x:v>
      </x:c>
      <x:c r="O50" s="2590" t="s">
        <x:v>133</x:v>
      </x:c>
      <x:c r="P50" s="2581" t="s">
        <x:v>620</x:v>
      </x:c>
      <x:c r="Q50" s="1155"/>
    </x:row>
    <x:row r="51" ht="36" customHeight="1">
      <x:c r="A51" s="2796">
        <x:v>45748</x:v>
      </x:c>
      <x:c r="B51" s="2797">
        <x:v>45838</x:v>
      </x:c>
      <x:c r="C51" s="2590" t="s">
        <x:v>534</x:v>
      </x:c>
      <x:c r="D51" s="2590" t="s">
        <x:v>185</x:v>
      </x:c>
      <x:c r="E51" s="2590" t="s">
        <x:v>535</x:v>
      </x:c>
      <x:c r="F51" s="2590" t="s">
        <x:v>619</x:v>
      </x:c>
      <x:c r="G51" s="2591" t="s">
        <x:v>577</x:v>
      </x:c>
      <x:c r="H51" s="2383">
        <x:v>1458</x:v>
      </x:c>
      <x:c r="I51" s="2383">
        <x:v>2870</x:v>
      </x:c>
      <x:c r="J51" s="2383" t="n">
        <x:f>SUM(H51:I51)</x:f>
        <x:v>4328</x:v>
      </x:c>
      <x:c r="K51" s="2530" t="n">
        <x:f>IFERROR(H51/J51,0)</x:f>
        <x:v>0.33687615526802217</x:v>
      </x:c>
      <x:c r="L51" s="2530" t="n">
        <x:f>IFERROR(I51/J51,0)</x:f>
        <x:v>0.6631238447319778</x:v>
      </x:c>
      <x:c r="M51" s="2590" t="s">
        <x:v>130</x:v>
      </x:c>
      <x:c r="N51" s="2590" t="s">
        <x:v>186</x:v>
      </x:c>
      <x:c r="O51" s="2590" t="s">
        <x:v>133</x:v>
      </x:c>
      <x:c r="P51" s="2581" t="s">
        <x:v>620</x:v>
      </x:c>
      <x:c r="Q51" s="1155"/>
    </x:row>
    <x:row r="52" ht="36" customHeight="1">
      <x:c r="A52" s="2796">
        <x:v>45748</x:v>
      </x:c>
      <x:c r="B52" s="2797">
        <x:v>45838</x:v>
      </x:c>
      <x:c r="C52" s="2590" t="s">
        <x:v>534</x:v>
      </x:c>
      <x:c r="D52" s="2590" t="s">
        <x:v>185</x:v>
      </x:c>
      <x:c r="E52" s="2590" t="s">
        <x:v>535</x:v>
      </x:c>
      <x:c r="F52" s="2590" t="s">
        <x:v>619</x:v>
      </x:c>
      <x:c r="G52" s="2591" t="s">
        <x:v>564</x:v>
      </x:c>
      <x:c r="H52" s="2383">
        <x:v>165</x:v>
      </x:c>
      <x:c r="I52" s="2383">
        <x:v>1481</x:v>
      </x:c>
      <x:c r="J52" s="2383" t="n">
        <x:f>SUM(H52:I52)</x:f>
        <x:v>1646</x:v>
      </x:c>
      <x:c r="K52" s="2530" t="n">
        <x:f>IFERROR(H52/J52,0)</x:f>
        <x:v>0.10024301336573511</x:v>
      </x:c>
      <x:c r="L52" s="2530" t="n">
        <x:f>IFERROR(I52/J52,0)</x:f>
        <x:v>0.8997569866342648</x:v>
      </x:c>
      <x:c r="M52" s="2590" t="s">
        <x:v>130</x:v>
      </x:c>
      <x:c r="N52" s="2590" t="s">
        <x:v>186</x:v>
      </x:c>
      <x:c r="O52" s="2590" t="s">
        <x:v>133</x:v>
      </x:c>
      <x:c r="P52" s="2581" t="s">
        <x:v>620</x:v>
      </x:c>
      <x:c r="Q52" s="1155"/>
    </x:row>
    <x:row r="53" ht="36" customHeight="1">
      <x:c r="A53" s="2796">
        <x:v>45748</x:v>
      </x:c>
      <x:c r="B53" s="2797">
        <x:v>45838</x:v>
      </x:c>
      <x:c r="C53" s="2590" t="s">
        <x:v>534</x:v>
      </x:c>
      <x:c r="D53" s="2590" t="s">
        <x:v>185</x:v>
      </x:c>
      <x:c r="E53" s="2590" t="s">
        <x:v>535</x:v>
      </x:c>
      <x:c r="F53" s="2590" t="s">
        <x:v>619</x:v>
      </x:c>
      <x:c r="G53" s="2591" t="s">
        <x:v>565</x:v>
      </x:c>
      <x:c r="H53" s="2383">
        <x:v>597</x:v>
      </x:c>
      <x:c r="I53" s="2383">
        <x:v>0</x:v>
      </x:c>
      <x:c r="J53" s="2383" t="n">
        <x:f>SUM(H53:I53)</x:f>
        <x:v>597</x:v>
      </x:c>
      <x:c r="K53" s="2530" t="n">
        <x:f>IFERROR(H53/J53,0)</x:f>
        <x:v>1</x:v>
      </x:c>
      <x:c r="L53" s="2530" t="n">
        <x:f>IFERROR(I53/J53,0)</x:f>
        <x:v>0</x:v>
      </x:c>
      <x:c r="M53" s="2590" t="s">
        <x:v>130</x:v>
      </x:c>
      <x:c r="N53" s="2590" t="s">
        <x:v>186</x:v>
      </x:c>
      <x:c r="O53" s="2590" t="s">
        <x:v>133</x:v>
      </x:c>
      <x:c r="P53" s="2581" t="s">
        <x:v>620</x:v>
      </x:c>
      <x:c r="Q53" s="1155"/>
    </x:row>
    <x:row r="54" ht="36" customHeight="1">
      <x:c r="A54" s="2796">
        <x:v>45748</x:v>
      </x:c>
      <x:c r="B54" s="2797">
        <x:v>45838</x:v>
      </x:c>
      <x:c r="C54" s="2590" t="s">
        <x:v>534</x:v>
      </x:c>
      <x:c r="D54" s="2590" t="s">
        <x:v>185</x:v>
      </x:c>
      <x:c r="E54" s="2590" t="s">
        <x:v>535</x:v>
      </x:c>
      <x:c r="F54" s="2590" t="s">
        <x:v>619</x:v>
      </x:c>
      <x:c r="G54" s="2591" t="s">
        <x:v>566</x:v>
      </x:c>
      <x:c r="H54" s="2383">
        <x:v>363</x:v>
      </x:c>
      <x:c r="I54" s="2383">
        <x:v>3</x:v>
      </x:c>
      <x:c r="J54" s="2383" t="n">
        <x:f>SUM(H54:I54)</x:f>
        <x:v>366</x:v>
      </x:c>
      <x:c r="K54" s="2530" t="n">
        <x:f>IFERROR(H54/J54,0)</x:f>
        <x:v>0.9918032786885246</x:v>
      </x:c>
      <x:c r="L54" s="2530" t="n">
        <x:f>IFERROR(I54/J54,0)</x:f>
        <x:v>0.00819672131147541</x:v>
      </x:c>
      <x:c r="M54" s="2590" t="s">
        <x:v>130</x:v>
      </x:c>
      <x:c r="N54" s="2590" t="s">
        <x:v>186</x:v>
      </x:c>
      <x:c r="O54" s="2590" t="s">
        <x:v>133</x:v>
      </x:c>
      <x:c r="P54" s="2581" t="s">
        <x:v>620</x:v>
      </x:c>
      <x:c r="Q54" s="1155"/>
    </x:row>
    <x:row r="55" ht="36" customHeight="1">
      <x:c r="A55" s="2796">
        <x:v>45748</x:v>
      </x:c>
      <x:c r="B55" s="2797">
        <x:v>45838</x:v>
      </x:c>
      <x:c r="C55" s="2590" t="s">
        <x:v>534</x:v>
      </x:c>
      <x:c r="D55" s="2590" t="s">
        <x:v>185</x:v>
      </x:c>
      <x:c r="E55" s="2590" t="s">
        <x:v>535</x:v>
      </x:c>
      <x:c r="F55" s="2590" t="s">
        <x:v>619</x:v>
      </x:c>
      <x:c r="G55" s="2591" t="s">
        <x:v>567</x:v>
      </x:c>
      <x:c r="H55" s="2383">
        <x:v>293</x:v>
      </x:c>
      <x:c r="I55" s="2383">
        <x:v>2</x:v>
      </x:c>
      <x:c r="J55" s="2383" t="n">
        <x:f>SUM(H55:I55)</x:f>
        <x:v>295</x:v>
      </x:c>
      <x:c r="K55" s="2530" t="n">
        <x:f>IFERROR(H55/J55,0)</x:f>
        <x:v>0.9932203389830508</x:v>
      </x:c>
      <x:c r="L55" s="2530" t="n">
        <x:f>IFERROR(I55/J55,0)</x:f>
        <x:v>0.006779661016949152</x:v>
      </x:c>
      <x:c r="M55" s="2590" t="s">
        <x:v>130</x:v>
      </x:c>
      <x:c r="N55" s="2590" t="s">
        <x:v>186</x:v>
      </x:c>
      <x:c r="O55" s="2590" t="s">
        <x:v>133</x:v>
      </x:c>
      <x:c r="P55" s="2581" t="s">
        <x:v>620</x:v>
      </x:c>
      <x:c r="Q55" s="1155"/>
    </x:row>
    <x:row r="56" ht="36" customHeight="1">
      <x:c r="A56" s="2796">
        <x:v>45748</x:v>
      </x:c>
      <x:c r="B56" s="2797">
        <x:v>45838</x:v>
      </x:c>
      <x:c r="C56" s="2590" t="s">
        <x:v>534</x:v>
      </x:c>
      <x:c r="D56" s="2590" t="s">
        <x:v>185</x:v>
      </x:c>
      <x:c r="E56" s="2590" t="s">
        <x:v>535</x:v>
      </x:c>
      <x:c r="F56" s="2590" t="s">
        <x:v>619</x:v>
      </x:c>
      <x:c r="G56" s="2591" t="s">
        <x:v>569</x:v>
      </x:c>
      <x:c r="H56" s="2383">
        <x:v>93</x:v>
      </x:c>
      <x:c r="I56" s="2383">
        <x:v>80</x:v>
      </x:c>
      <x:c r="J56" s="2383" t="n">
        <x:f>SUM(H56:I56)</x:f>
        <x:v>173</x:v>
      </x:c>
      <x:c r="K56" s="2530" t="n">
        <x:f>IFERROR(H56/J56,0)</x:f>
        <x:v>0.5375722543352601</x:v>
      </x:c>
      <x:c r="L56" s="2530" t="n">
        <x:f>IFERROR(I56/J56,0)</x:f>
        <x:v>0.4624277456647399</x:v>
      </x:c>
      <x:c r="M56" s="2590" t="s">
        <x:v>130</x:v>
      </x:c>
      <x:c r="N56" s="2590" t="s">
        <x:v>186</x:v>
      </x:c>
      <x:c r="O56" s="2590" t="s">
        <x:v>133</x:v>
      </x:c>
      <x:c r="P56" s="2581" t="s">
        <x:v>620</x:v>
      </x:c>
      <x:c r="Q56" s="1155"/>
    </x:row>
    <x:row r="57" ht="36" customHeight="1">
      <x:c r="A57" s="2796">
        <x:v>45748</x:v>
      </x:c>
      <x:c r="B57" s="2797">
        <x:v>45838</x:v>
      </x:c>
      <x:c r="C57" s="2590" t="s">
        <x:v>534</x:v>
      </x:c>
      <x:c r="D57" s="2590" t="s">
        <x:v>185</x:v>
      </x:c>
      <x:c r="E57" s="2590" t="s">
        <x:v>535</x:v>
      </x:c>
      <x:c r="F57" s="2590" t="s">
        <x:v>619</x:v>
      </x:c>
      <x:c r="G57" s="2591" t="s">
        <x:v>568</x:v>
      </x:c>
      <x:c r="H57" s="2383">
        <x:v>36</x:v>
      </x:c>
      <x:c r="I57" s="2383">
        <x:v>162</x:v>
      </x:c>
      <x:c r="J57" s="2383" t="n">
        <x:f>SUM(H57:I57)</x:f>
        <x:v>198</x:v>
      </x:c>
      <x:c r="K57" s="2530" t="n">
        <x:f>IFERROR(H57/J57,0)</x:f>
        <x:v>0.18181818181818182</x:v>
      </x:c>
      <x:c r="L57" s="2530" t="n">
        <x:f>IFERROR(I57/J57,0)</x:f>
        <x:v>0.8181818181818182</x:v>
      </x:c>
      <x:c r="M57" s="2590" t="s">
        <x:v>130</x:v>
      </x:c>
      <x:c r="N57" s="2590" t="s">
        <x:v>186</x:v>
      </x:c>
      <x:c r="O57" s="2590" t="s">
        <x:v>133</x:v>
      </x:c>
      <x:c r="P57" s="2581" t="s">
        <x:v>620</x:v>
      </x:c>
      <x:c r="Q57" s="1155"/>
    </x:row>
    <x:row r="58" ht="36" customHeight="1">
      <x:c r="A58" s="2796">
        <x:v>45748</x:v>
      </x:c>
      <x:c r="B58" s="2797">
        <x:v>45838</x:v>
      </x:c>
      <x:c r="C58" s="2590" t="s">
        <x:v>534</x:v>
      </x:c>
      <x:c r="D58" s="2590" t="s">
        <x:v>185</x:v>
      </x:c>
      <x:c r="E58" s="2590" t="s">
        <x:v>535</x:v>
      </x:c>
      <x:c r="F58" s="2590" t="s">
        <x:v>621</x:v>
      </x:c>
      <x:c r="G58" s="2591" t="s">
        <x:v>577</x:v>
      </x:c>
      <x:c r="H58" s="2383">
        <x:v>366</x:v>
      </x:c>
      <x:c r="I58" s="2383">
        <x:v>557</x:v>
      </x:c>
      <x:c r="J58" s="2383" t="n">
        <x:f>SUM(H58:I58)</x:f>
        <x:v>923</x:v>
      </x:c>
      <x:c r="K58" s="2530" t="n">
        <x:f>IFERROR(H58/J58,0)</x:f>
        <x:v>0.39653304442036835</x:v>
      </x:c>
      <x:c r="L58" s="2530" t="n">
        <x:f>IFERROR(I58/J58,0)</x:f>
        <x:v>0.6034669555796316</x:v>
      </x:c>
      <x:c r="M58" s="2590" t="s">
        <x:v>130</x:v>
      </x:c>
      <x:c r="N58" s="2590" t="s">
        <x:v>186</x:v>
      </x:c>
      <x:c r="O58" s="2590" t="s">
        <x:v>133</x:v>
      </x:c>
      <x:c r="P58" s="2581" t="s">
        <x:v>620</x:v>
      </x:c>
      <x:c r="Q58" s="1155"/>
    </x:row>
    <x:row r="59" ht="36" customHeight="1">
      <x:c r="A59" s="2796">
        <x:v>45748</x:v>
      </x:c>
      <x:c r="B59" s="2797">
        <x:v>45838</x:v>
      </x:c>
      <x:c r="C59" s="2590" t="s">
        <x:v>534</x:v>
      </x:c>
      <x:c r="D59" s="2590" t="s">
        <x:v>185</x:v>
      </x:c>
      <x:c r="E59" s="2590" t="s">
        <x:v>535</x:v>
      </x:c>
      <x:c r="F59" s="2590" t="s">
        <x:v>621</x:v>
      </x:c>
      <x:c r="G59" s="2591" t="s">
        <x:v>569</x:v>
      </x:c>
      <x:c r="H59" s="2383">
        <x:v>153</x:v>
      </x:c>
      <x:c r="I59" s="2383">
        <x:v>181</x:v>
      </x:c>
      <x:c r="J59" s="2383" t="n">
        <x:f>SUM(H59:I59)</x:f>
        <x:v>334</x:v>
      </x:c>
      <x:c r="K59" s="2530" t="n">
        <x:f>IFERROR(H59/J59,0)</x:f>
        <x:v>0.45808383233532934</x:v>
      </x:c>
      <x:c r="L59" s="2530" t="n">
        <x:f>IFERROR(I59/J59,0)</x:f>
        <x:v>0.5419161676646707</x:v>
      </x:c>
      <x:c r="M59" s="2590" t="s">
        <x:v>130</x:v>
      </x:c>
      <x:c r="N59" s="2590" t="s">
        <x:v>186</x:v>
      </x:c>
      <x:c r="O59" s="2590" t="s">
        <x:v>133</x:v>
      </x:c>
      <x:c r="P59" s="2581" t="s">
        <x:v>620</x:v>
      </x:c>
      <x:c r="Q59" s="1155"/>
    </x:row>
    <x:row r="60" ht="36" customHeight="1">
      <x:c r="A60" s="2796">
        <x:v>45748</x:v>
      </x:c>
      <x:c r="B60" s="2797">
        <x:v>45838</x:v>
      </x:c>
      <x:c r="C60" s="2590" t="s">
        <x:v>534</x:v>
      </x:c>
      <x:c r="D60" s="2590" t="s">
        <x:v>185</x:v>
      </x:c>
      <x:c r="E60" s="2590" t="s">
        <x:v>535</x:v>
      </x:c>
      <x:c r="F60" s="2590" t="s">
        <x:v>621</x:v>
      </x:c>
      <x:c r="G60" s="2591" t="s">
        <x:v>564</x:v>
      </x:c>
      <x:c r="H60" s="2383">
        <x:v>30</x:v>
      </x:c>
      <x:c r="I60" s="2383">
        <x:v>98</x:v>
      </x:c>
      <x:c r="J60" s="2383" t="n">
        <x:f>SUM(H60:I60)</x:f>
        <x:v>128</x:v>
      </x:c>
      <x:c r="K60" s="2530" t="n">
        <x:f>IFERROR(H60/J60,0)</x:f>
        <x:v>0.234375</x:v>
      </x:c>
      <x:c r="L60" s="2530" t="n">
        <x:f>IFERROR(I60/J60,0)</x:f>
        <x:v>0.765625</x:v>
      </x:c>
      <x:c r="M60" s="2590" t="s">
        <x:v>130</x:v>
      </x:c>
      <x:c r="N60" s="2590" t="s">
        <x:v>186</x:v>
      </x:c>
      <x:c r="O60" s="2590" t="s">
        <x:v>133</x:v>
      </x:c>
      <x:c r="P60" s="2581" t="s">
        <x:v>620</x:v>
      </x:c>
      <x:c r="Q60" s="1155"/>
    </x:row>
    <x:row r="61" ht="36" customHeight="1">
      <x:c r="A61" s="2796">
        <x:v>45748</x:v>
      </x:c>
      <x:c r="B61" s="2797">
        <x:v>45838</x:v>
      </x:c>
      <x:c r="C61" s="2590" t="s">
        <x:v>534</x:v>
      </x:c>
      <x:c r="D61" s="2590" t="s">
        <x:v>185</x:v>
      </x:c>
      <x:c r="E61" s="2590" t="s">
        <x:v>535</x:v>
      </x:c>
      <x:c r="F61" s="2590" t="s">
        <x:v>621</x:v>
      </x:c>
      <x:c r="G61" s="2591" t="s">
        <x:v>373</x:v>
      </x:c>
      <x:c r="H61" s="2383">
        <x:v>22</x:v>
      </x:c>
      <x:c r="I61" s="2383">
        <x:v>29</x:v>
      </x:c>
      <x:c r="J61" s="2383" t="n">
        <x:f>SUM(H61:I61)</x:f>
        <x:v>51</x:v>
      </x:c>
      <x:c r="K61" s="2530" t="n">
        <x:f>IFERROR(H61/J61,0)</x:f>
        <x:v>0.43137254901960786</x:v>
      </x:c>
      <x:c r="L61" s="2530" t="n">
        <x:f>IFERROR(I61/J61,0)</x:f>
        <x:v>0.5686274509803921</x:v>
      </x:c>
      <x:c r="M61" s="2590" t="s">
        <x:v>130</x:v>
      </x:c>
      <x:c r="N61" s="2590" t="s">
        <x:v>186</x:v>
      </x:c>
      <x:c r="O61" s="2590" t="s">
        <x:v>133</x:v>
      </x:c>
      <x:c r="P61" s="2581" t="s">
        <x:v>620</x:v>
      </x:c>
      <x:c r="Q61" s="1155"/>
    </x:row>
    <x:row r="62" ht="36" customHeight="1">
      <x:c r="A62" s="2796">
        <x:v>45748</x:v>
      </x:c>
      <x:c r="B62" s="2797">
        <x:v>45838</x:v>
      </x:c>
      <x:c r="C62" s="2590" t="s">
        <x:v>534</x:v>
      </x:c>
      <x:c r="D62" s="2590" t="s">
        <x:v>185</x:v>
      </x:c>
      <x:c r="E62" s="2590" t="s">
        <x:v>535</x:v>
      </x:c>
      <x:c r="F62" s="2590" t="s">
        <x:v>621</x:v>
      </x:c>
      <x:c r="G62" s="2591" t="s">
        <x:v>592</x:v>
      </x:c>
      <x:c r="H62" s="2383">
        <x:v>34</x:v>
      </x:c>
      <x:c r="I62" s="2383">
        <x:v>1</x:v>
      </x:c>
      <x:c r="J62" s="2383" t="n">
        <x:f>SUM(H62:I62)</x:f>
        <x:v>35</x:v>
      </x:c>
      <x:c r="K62" s="2530" t="n">
        <x:f>IFERROR(H62/J62,0)</x:f>
        <x:v>0.9714285714285714</x:v>
      </x:c>
      <x:c r="L62" s="2530" t="n">
        <x:f>IFERROR(I62/J62,0)</x:f>
        <x:v>0.02857142857142857</x:v>
      </x:c>
      <x:c r="M62" s="2590" t="s">
        <x:v>130</x:v>
      </x:c>
      <x:c r="N62" s="2590" t="s">
        <x:v>186</x:v>
      </x:c>
      <x:c r="O62" s="2590" t="s">
        <x:v>133</x:v>
      </x:c>
      <x:c r="P62" s="2581" t="s">
        <x:v>620</x:v>
      </x:c>
      <x:c r="Q62" s="1155"/>
    </x:row>
    <x:row r="63" ht="36" customHeight="1">
      <x:c r="A63" s="2796">
        <x:v>45748</x:v>
      </x:c>
      <x:c r="B63" s="2797">
        <x:v>45838</x:v>
      </x:c>
      <x:c r="C63" s="2590" t="s">
        <x:v>534</x:v>
      </x:c>
      <x:c r="D63" s="2590" t="s">
        <x:v>185</x:v>
      </x:c>
      <x:c r="E63" s="2590" t="s">
        <x:v>535</x:v>
      </x:c>
      <x:c r="F63" s="2590" t="s">
        <x:v>621</x:v>
      </x:c>
      <x:c r="G63" s="2591" t="s">
        <x:v>565</x:v>
      </x:c>
      <x:c r="H63" s="2383">
        <x:v>12</x:v>
      </x:c>
      <x:c r="I63" s="2383">
        <x:v>0</x:v>
      </x:c>
      <x:c r="J63" s="2383" t="n">
        <x:f>SUM(H63:I63)</x:f>
        <x:v>12</x:v>
      </x:c>
      <x:c r="K63" s="2530" t="n">
        <x:f>IFERROR(H63/J63,0)</x:f>
        <x:v>1</x:v>
      </x:c>
      <x:c r="L63" s="2530" t="n">
        <x:f>IFERROR(I63/J63,0)</x:f>
        <x:v>0</x:v>
      </x:c>
      <x:c r="M63" s="2590" t="s">
        <x:v>130</x:v>
      </x:c>
      <x:c r="N63" s="2590" t="s">
        <x:v>186</x:v>
      </x:c>
      <x:c r="O63" s="2590" t="s">
        <x:v>133</x:v>
      </x:c>
      <x:c r="P63" s="2581" t="s">
        <x:v>620</x:v>
      </x:c>
      <x:c r="Q63" s="1155"/>
    </x:row>
    <x:row r="64" ht="36" customHeight="1">
      <x:c r="A64" s="2796">
        <x:v>45748</x:v>
      </x:c>
      <x:c r="B64" s="2797">
        <x:v>45838</x:v>
      </x:c>
      <x:c r="C64" s="2590" t="s">
        <x:v>534</x:v>
      </x:c>
      <x:c r="D64" s="2590" t="s">
        <x:v>185</x:v>
      </x:c>
      <x:c r="E64" s="2590" t="s">
        <x:v>535</x:v>
      </x:c>
      <x:c r="F64" s="2590" t="s">
        <x:v>621</x:v>
      </x:c>
      <x:c r="G64" s="2591" t="s">
        <x:v>567</x:v>
      </x:c>
      <x:c r="H64" s="2383">
        <x:v>23</x:v>
      </x:c>
      <x:c r="I64" s="2383">
        <x:v>0</x:v>
      </x:c>
      <x:c r="J64" s="2383" t="n">
        <x:f>SUM(H64:I64)</x:f>
        <x:v>23</x:v>
      </x:c>
      <x:c r="K64" s="2530" t="n">
        <x:f>IFERROR(H64/J64,0)</x:f>
        <x:v>1</x:v>
      </x:c>
      <x:c r="L64" s="2530" t="n">
        <x:f>IFERROR(I64/J64,0)</x:f>
        <x:v>0</x:v>
      </x:c>
      <x:c r="M64" s="2590" t="s">
        <x:v>130</x:v>
      </x:c>
      <x:c r="N64" s="2590" t="s">
        <x:v>186</x:v>
      </x:c>
      <x:c r="O64" s="2590" t="s">
        <x:v>133</x:v>
      </x:c>
      <x:c r="P64" s="2581" t="s">
        <x:v>620</x:v>
      </x:c>
      <x:c r="Q64" s="1155"/>
    </x:row>
    <x:row r="65" ht="36" customHeight="1">
      <x:c r="A65" s="2796">
        <x:v>45748</x:v>
      </x:c>
      <x:c r="B65" s="2797">
        <x:v>45838</x:v>
      </x:c>
      <x:c r="C65" s="2590" t="s">
        <x:v>534</x:v>
      </x:c>
      <x:c r="D65" s="2590" t="s">
        <x:v>185</x:v>
      </x:c>
      <x:c r="E65" s="2590" t="s">
        <x:v>535</x:v>
      </x:c>
      <x:c r="F65" s="2590" t="s">
        <x:v>621</x:v>
      </x:c>
      <x:c r="G65" s="2591" t="s">
        <x:v>568</x:v>
      </x:c>
      <x:c r="H65" s="2383">
        <x:v>4</x:v>
      </x:c>
      <x:c r="I65" s="2383">
        <x:v>19</x:v>
      </x:c>
      <x:c r="J65" s="2383" t="n">
        <x:f>SUM(H65:I65)</x:f>
        <x:v>23</x:v>
      </x:c>
      <x:c r="K65" s="2530" t="n">
        <x:f>IFERROR(H65/J65,0)</x:f>
        <x:v>0.17391304347826086</x:v>
      </x:c>
      <x:c r="L65" s="2530" t="n">
        <x:f>IFERROR(I65/J65,0)</x:f>
        <x:v>0.8260869565217391</x:v>
      </x:c>
      <x:c r="M65" s="2590" t="s">
        <x:v>130</x:v>
      </x:c>
      <x:c r="N65" s="2590" t="s">
        <x:v>186</x:v>
      </x:c>
      <x:c r="O65" s="2590" t="s">
        <x:v>133</x:v>
      </x:c>
      <x:c r="P65" s="2581" t="s">
        <x:v>620</x:v>
      </x:c>
      <x:c r="Q65" s="1155"/>
    </x:row>
    <x:row r="66" ht="36" customHeight="1">
      <x:c r="A66" s="2796">
        <x:v>45962</x:v>
      </x:c>
      <x:c r="B66" s="2797">
        <x:v>46022</x:v>
      </x:c>
      <x:c r="C66" s="2590" t="s">
        <x:v>538</x:v>
      </x:c>
      <x:c r="D66" s="2590" t="s">
        <x:v>190</x:v>
      </x:c>
      <x:c r="E66" s="2590" t="s">
        <x:v>95</x:v>
      </x:c>
      <x:c r="F66" s="2590" t="s">
        <x:v>619</x:v>
      </x:c>
      <x:c r="G66" s="2591" t="s">
        <x:v>373</x:v>
      </x:c>
      <x:c r="H66" s="2383">
        <x:v>929</x:v>
      </x:c>
      <x:c r="I66" s="2383">
        <x:v>3730</x:v>
      </x:c>
      <x:c r="J66" s="2383" t="n">
        <x:f>SUM(H66:I66)</x:f>
        <x:v>4659</x:v>
      </x:c>
      <x:c r="K66" s="2530" t="n">
        <x:f>IFERROR(H66/J66,0)</x:f>
        <x:v>0.19939901266366172</x:v>
      </x:c>
      <x:c r="L66" s="2530" t="n">
        <x:f>IFERROR(I66/J66,0)</x:f>
        <x:v>0.8006009873363382</x:v>
      </x:c>
      <x:c r="M66" s="2590" t="s">
        <x:v>137</x:v>
      </x:c>
      <x:c r="N66" s="2590" t="s">
        <x:v>193</x:v>
      </x:c>
      <x:c r="O66" s="2590" t="s">
        <x:v>140</x:v>
      </x:c>
      <x:c r="P66" s="2581" t="s">
        <x:v>622</x:v>
      </x:c>
      <x:c r="Q66" s="1155"/>
    </x:row>
    <x:row r="67" ht="36" customHeight="1">
      <x:c r="A67" s="2796">
        <x:v>45962</x:v>
      </x:c>
      <x:c r="B67" s="2797">
        <x:v>46022</x:v>
      </x:c>
      <x:c r="C67" s="2590" t="s">
        <x:v>538</x:v>
      </x:c>
      <x:c r="D67" s="2590" t="s">
        <x:v>190</x:v>
      </x:c>
      <x:c r="E67" s="2590" t="s">
        <x:v>95</x:v>
      </x:c>
      <x:c r="F67" s="2590" t="s">
        <x:v>619</x:v>
      </x:c>
      <x:c r="G67" s="2591" t="s">
        <x:v>577</x:v>
      </x:c>
      <x:c r="H67" s="2383">
        <x:v>924</x:v>
      </x:c>
      <x:c r="I67" s="2383">
        <x:v>1879</x:v>
      </x:c>
      <x:c r="J67" s="2383" t="n">
        <x:f>SUM(H67:I67)</x:f>
        <x:v>2803</x:v>
      </x:c>
      <x:c r="K67" s="2530" t="n">
        <x:f>IFERROR(H67/J67,0)</x:f>
        <x:v>0.32964680699250803</x:v>
      </x:c>
      <x:c r="L67" s="2530" t="n">
        <x:f>IFERROR(I67/J67,0)</x:f>
        <x:v>0.670353193007492</x:v>
      </x:c>
      <x:c r="M67" s="2590" t="s">
        <x:v>137</x:v>
      </x:c>
      <x:c r="N67" s="2590" t="s">
        <x:v>193</x:v>
      </x:c>
      <x:c r="O67" s="2590" t="s">
        <x:v>140</x:v>
      </x:c>
      <x:c r="P67" s="2581" t="s">
        <x:v>622</x:v>
      </x:c>
      <x:c r="Q67" s="1155"/>
    </x:row>
    <x:row r="68" ht="36" customHeight="1">
      <x:c r="A68" s="2796">
        <x:v>45962</x:v>
      </x:c>
      <x:c r="B68" s="2797">
        <x:v>46022</x:v>
      </x:c>
      <x:c r="C68" s="2590" t="s">
        <x:v>538</x:v>
      </x:c>
      <x:c r="D68" s="2590" t="s">
        <x:v>190</x:v>
      </x:c>
      <x:c r="E68" s="2590" t="s">
        <x:v>95</x:v>
      </x:c>
      <x:c r="F68" s="2590" t="s">
        <x:v>619</x:v>
      </x:c>
      <x:c r="G68" s="2591" t="s">
        <x:v>564</x:v>
      </x:c>
      <x:c r="H68" s="2383">
        <x:v>107</x:v>
      </x:c>
      <x:c r="I68" s="2383">
        <x:v>958</x:v>
      </x:c>
      <x:c r="J68" s="2383" t="n">
        <x:f>SUM(H68:I68)</x:f>
        <x:v>1065</x:v>
      </x:c>
      <x:c r="K68" s="2530" t="n">
        <x:f>IFERROR(H68/J68,0)</x:f>
        <x:v>0.10046948356807511</x:v>
      </x:c>
      <x:c r="L68" s="2530" t="n">
        <x:f>IFERROR(I68/J68,0)</x:f>
        <x:v>0.8995305164319248</x:v>
      </x:c>
      <x:c r="M68" s="2590" t="s">
        <x:v>137</x:v>
      </x:c>
      <x:c r="N68" s="2590" t="s">
        <x:v>193</x:v>
      </x:c>
      <x:c r="O68" s="2590" t="s">
        <x:v>140</x:v>
      </x:c>
      <x:c r="P68" s="2581" t="s">
        <x:v>622</x:v>
      </x:c>
      <x:c r="Q68" s="1155"/>
    </x:row>
    <x:row r="69" ht="36" customHeight="1">
      <x:c r="A69" s="2796">
        <x:v>45962</x:v>
      </x:c>
      <x:c r="B69" s="2797">
        <x:v>46022</x:v>
      </x:c>
      <x:c r="C69" s="2590" t="s">
        <x:v>538</x:v>
      </x:c>
      <x:c r="D69" s="2590" t="s">
        <x:v>190</x:v>
      </x:c>
      <x:c r="E69" s="2590" t="s">
        <x:v>95</x:v>
      </x:c>
      <x:c r="F69" s="2590" t="s">
        <x:v>619</x:v>
      </x:c>
      <x:c r="G69" s="2591" t="s">
        <x:v>565</x:v>
      </x:c>
      <x:c r="H69" s="2383">
        <x:v>376</x:v>
      </x:c>
      <x:c r="I69" s="2383">
        <x:v>0</x:v>
      </x:c>
      <x:c r="J69" s="2383" t="n">
        <x:f>SUM(H69:I69)</x:f>
        <x:v>376</x:v>
      </x:c>
      <x:c r="K69" s="2530" t="n">
        <x:f>IFERROR(H69/J69,0)</x:f>
        <x:v>1</x:v>
      </x:c>
      <x:c r="L69" s="2530" t="n">
        <x:f>IFERROR(I69/J69,0)</x:f>
        <x:v>0</x:v>
      </x:c>
      <x:c r="M69" s="2590" t="s">
        <x:v>137</x:v>
      </x:c>
      <x:c r="N69" s="2590" t="s">
        <x:v>193</x:v>
      </x:c>
      <x:c r="O69" s="2590" t="s">
        <x:v>140</x:v>
      </x:c>
      <x:c r="P69" s="2581" t="s">
        <x:v>622</x:v>
      </x:c>
      <x:c r="Q69" s="1155"/>
    </x:row>
    <x:row r="70" ht="36" customHeight="1">
      <x:c r="A70" s="2796">
        <x:v>45962</x:v>
      </x:c>
      <x:c r="B70" s="2797">
        <x:v>46022</x:v>
      </x:c>
      <x:c r="C70" s="2590" t="s">
        <x:v>538</x:v>
      </x:c>
      <x:c r="D70" s="2590" t="s">
        <x:v>190</x:v>
      </x:c>
      <x:c r="E70" s="2590" t="s">
        <x:v>95</x:v>
      </x:c>
      <x:c r="F70" s="2590" t="s">
        <x:v>619</x:v>
      </x:c>
      <x:c r="G70" s="2591" t="s">
        <x:v>566</x:v>
      </x:c>
      <x:c r="H70" s="2383">
        <x:v>244</x:v>
      </x:c>
      <x:c r="I70" s="2383">
        <x:v>0</x:v>
      </x:c>
      <x:c r="J70" s="2383" t="n">
        <x:f>SUM(H70:I70)</x:f>
        <x:v>244</x:v>
      </x:c>
      <x:c r="K70" s="2530" t="n">
        <x:f>IFERROR(H70/J70,0)</x:f>
        <x:v>1</x:v>
      </x:c>
      <x:c r="L70" s="2530" t="n">
        <x:f>IFERROR(I70/J70,0)</x:f>
        <x:v>0</x:v>
      </x:c>
      <x:c r="M70" s="2590" t="s">
        <x:v>137</x:v>
      </x:c>
      <x:c r="N70" s="2590" t="s">
        <x:v>193</x:v>
      </x:c>
      <x:c r="O70" s="2590" t="s">
        <x:v>140</x:v>
      </x:c>
      <x:c r="P70" s="2581" t="s">
        <x:v>622</x:v>
      </x:c>
      <x:c r="Q70" s="1155"/>
    </x:row>
    <x:row r="71" ht="36" customHeight="1">
      <x:c r="A71" s="2796">
        <x:v>45962</x:v>
      </x:c>
      <x:c r="B71" s="2797">
        <x:v>46022</x:v>
      </x:c>
      <x:c r="C71" s="2590" t="s">
        <x:v>538</x:v>
      </x:c>
      <x:c r="D71" s="2590" t="s">
        <x:v>190</x:v>
      </x:c>
      <x:c r="E71" s="2590" t="s">
        <x:v>95</x:v>
      </x:c>
      <x:c r="F71" s="2590" t="s">
        <x:v>619</x:v>
      </x:c>
      <x:c r="G71" s="2591" t="s">
        <x:v>567</x:v>
      </x:c>
      <x:c r="H71" s="2383">
        <x:v>163</x:v>
      </x:c>
      <x:c r="I71" s="2383">
        <x:v>0</x:v>
      </x:c>
      <x:c r="J71" s="2383" t="n">
        <x:f>SUM(H71:I71)</x:f>
        <x:v>163</x:v>
      </x:c>
      <x:c r="K71" s="2530" t="n">
        <x:f>IFERROR(H71/J71,0)</x:f>
        <x:v>1</x:v>
      </x:c>
      <x:c r="L71" s="2530" t="n">
        <x:f>IFERROR(I71/J71,0)</x:f>
        <x:v>0</x:v>
      </x:c>
      <x:c r="M71" s="2590" t="s">
        <x:v>137</x:v>
      </x:c>
      <x:c r="N71" s="2590" t="s">
        <x:v>193</x:v>
      </x:c>
      <x:c r="O71" s="2590" t="s">
        <x:v>140</x:v>
      </x:c>
      <x:c r="P71" s="2581" t="s">
        <x:v>622</x:v>
      </x:c>
      <x:c r="Q71" s="1155"/>
    </x:row>
    <x:row r="72" ht="36" customHeight="1">
      <x:c r="A72" s="2796">
        <x:v>45962</x:v>
      </x:c>
      <x:c r="B72" s="2797">
        <x:v>46022</x:v>
      </x:c>
      <x:c r="C72" s="2590" t="s">
        <x:v>538</x:v>
      </x:c>
      <x:c r="D72" s="2590" t="s">
        <x:v>190</x:v>
      </x:c>
      <x:c r="E72" s="2590" t="s">
        <x:v>95</x:v>
      </x:c>
      <x:c r="F72" s="2590" t="s">
        <x:v>619</x:v>
      </x:c>
      <x:c r="G72" s="2591" t="s">
        <x:v>569</x:v>
      </x:c>
      <x:c r="H72" s="2383">
        <x:v>22</x:v>
      </x:c>
      <x:c r="I72" s="2383">
        <x:v>128</x:v>
      </x:c>
      <x:c r="J72" s="2383" t="n">
        <x:f>SUM(H72:I72)</x:f>
        <x:v>150</x:v>
      </x:c>
      <x:c r="K72" s="2530" t="n">
        <x:f>IFERROR(H72/J72,0)</x:f>
        <x:v>0.14666666666666667</x:v>
      </x:c>
      <x:c r="L72" s="2530" t="n">
        <x:f>IFERROR(I72/J72,0)</x:f>
        <x:v>0.8533333333333334</x:v>
      </x:c>
      <x:c r="M72" s="2590" t="s">
        <x:v>137</x:v>
      </x:c>
      <x:c r="N72" s="2590" t="s">
        <x:v>193</x:v>
      </x:c>
      <x:c r="O72" s="2590" t="s">
        <x:v>140</x:v>
      </x:c>
      <x:c r="P72" s="2581" t="s">
        <x:v>622</x:v>
      </x:c>
      <x:c r="Q72" s="1155"/>
    </x:row>
    <x:row r="73" ht="36" customHeight="1">
      <x:c r="A73" s="2796">
        <x:v>45962</x:v>
      </x:c>
      <x:c r="B73" s="2797">
        <x:v>46022</x:v>
      </x:c>
      <x:c r="C73" s="2590" t="s">
        <x:v>538</x:v>
      </x:c>
      <x:c r="D73" s="2590" t="s">
        <x:v>190</x:v>
      </x:c>
      <x:c r="E73" s="2590" t="s">
        <x:v>95</x:v>
      </x:c>
      <x:c r="F73" s="2590" t="s">
        <x:v>619</x:v>
      </x:c>
      <x:c r="G73" s="2591" t="s">
        <x:v>568</x:v>
      </x:c>
      <x:c r="H73" s="2383">
        <x:v>70</x:v>
      </x:c>
      <x:c r="I73" s="2383">
        <x:v>75</x:v>
      </x:c>
      <x:c r="J73" s="2383" t="n">
        <x:f>SUM(H73:I73)</x:f>
        <x:v>145</x:v>
      </x:c>
      <x:c r="K73" s="2530" t="n">
        <x:f>IFERROR(H73/J73,0)</x:f>
        <x:v>0.4827586206896552</x:v>
      </x:c>
      <x:c r="L73" s="2530" t="n">
        <x:f>IFERROR(I73/J73,0)</x:f>
        <x:v>0.5172413793103449</x:v>
      </x:c>
      <x:c r="M73" s="2590" t="s">
        <x:v>137</x:v>
      </x:c>
      <x:c r="N73" s="2590" t="s">
        <x:v>193</x:v>
      </x:c>
      <x:c r="O73" s="2590" t="s">
        <x:v>140</x:v>
      </x:c>
      <x:c r="P73" s="2581" t="s">
        <x:v>622</x:v>
      </x:c>
      <x:c r="Q73" s="1155"/>
    </x:row>
    <x:row r="74" ht="36" customHeight="1">
      <x:c r="A74" s="2796">
        <x:v>45962</x:v>
      </x:c>
      <x:c r="B74" s="2797">
        <x:v>46022</x:v>
      </x:c>
      <x:c r="C74" s="2590" t="s">
        <x:v>538</x:v>
      </x:c>
      <x:c r="D74" s="2590" t="s">
        <x:v>190</x:v>
      </x:c>
      <x:c r="E74" s="2590" t="s">
        <x:v>95</x:v>
      </x:c>
      <x:c r="F74" s="2590" t="s">
        <x:v>621</x:v>
      </x:c>
      <x:c r="G74" s="2591" t="s">
        <x:v>577</x:v>
      </x:c>
      <x:c r="H74" s="2383">
        <x:v>129</x:v>
      </x:c>
      <x:c r="I74" s="2383">
        <x:v>301</x:v>
      </x:c>
      <x:c r="J74" s="2383" t="n">
        <x:f>SUM(H74:I74)</x:f>
        <x:v>430</x:v>
      </x:c>
      <x:c r="K74" s="2530" t="n">
        <x:f>IFERROR(H74/J74,0)</x:f>
        <x:v>0.3</x:v>
      </x:c>
      <x:c r="L74" s="2530" t="n">
        <x:f>IFERROR(I74/J74,0)</x:f>
        <x:v>0.7</x:v>
      </x:c>
      <x:c r="M74" s="2590" t="s">
        <x:v>137</x:v>
      </x:c>
      <x:c r="N74" s="2590" t="s">
        <x:v>193</x:v>
      </x:c>
      <x:c r="O74" s="2590" t="s">
        <x:v>140</x:v>
      </x:c>
      <x:c r="P74" s="2581" t="s">
        <x:v>622</x:v>
      </x:c>
      <x:c r="Q74" s="1155"/>
    </x:row>
    <x:row r="75" ht="36" customHeight="1">
      <x:c r="A75" s="2796">
        <x:v>45962</x:v>
      </x:c>
      <x:c r="B75" s="2797">
        <x:v>46022</x:v>
      </x:c>
      <x:c r="C75" s="2590" t="s">
        <x:v>538</x:v>
      </x:c>
      <x:c r="D75" s="2590" t="s">
        <x:v>190</x:v>
      </x:c>
      <x:c r="E75" s="2590" t="s">
        <x:v>95</x:v>
      </x:c>
      <x:c r="F75" s="2590" t="s">
        <x:v>621</x:v>
      </x:c>
      <x:c r="G75" s="2591" t="s">
        <x:v>569</x:v>
      </x:c>
      <x:c r="H75" s="2383">
        <x:v>98</x:v>
      </x:c>
      <x:c r="I75" s="2383">
        <x:v>130</x:v>
      </x:c>
      <x:c r="J75" s="2383" t="n">
        <x:f>SUM(H75:I75)</x:f>
        <x:v>228</x:v>
      </x:c>
      <x:c r="K75" s="2530" t="n">
        <x:f>IFERROR(H75/J75,0)</x:f>
        <x:v>0.4298245614035088</x:v>
      </x:c>
      <x:c r="L75" s="2530" t="n">
        <x:f>IFERROR(I75/J75,0)</x:f>
        <x:v>0.5701754385964912</x:v>
      </x:c>
      <x:c r="M75" s="2590" t="s">
        <x:v>137</x:v>
      </x:c>
      <x:c r="N75" s="2590" t="s">
        <x:v>193</x:v>
      </x:c>
      <x:c r="O75" s="2590" t="s">
        <x:v>140</x:v>
      </x:c>
      <x:c r="P75" s="2581" t="s">
        <x:v>622</x:v>
      </x:c>
      <x:c r="Q75" s="1155"/>
    </x:row>
    <x:row r="76" ht="36" customHeight="1">
      <x:c r="A76" s="2796">
        <x:v>45962</x:v>
      </x:c>
      <x:c r="B76" s="2797">
        <x:v>46022</x:v>
      </x:c>
      <x:c r="C76" s="2590" t="s">
        <x:v>538</x:v>
      </x:c>
      <x:c r="D76" s="2590" t="s">
        <x:v>190</x:v>
      </x:c>
      <x:c r="E76" s="2590" t="s">
        <x:v>95</x:v>
      </x:c>
      <x:c r="F76" s="2590" t="s">
        <x:v>621</x:v>
      </x:c>
      <x:c r="G76" s="2591" t="s">
        <x:v>564</x:v>
      </x:c>
      <x:c r="H76" s="2383">
        <x:v>15</x:v>
      </x:c>
      <x:c r="I76" s="2383">
        <x:v>47</x:v>
      </x:c>
      <x:c r="J76" s="2383" t="n">
        <x:f>SUM(H76:I76)</x:f>
        <x:v>62</x:v>
      </x:c>
      <x:c r="K76" s="2530" t="n">
        <x:f>IFERROR(H76/J76,0)</x:f>
        <x:v>0.24193548387096775</x:v>
      </x:c>
      <x:c r="L76" s="2530" t="n">
        <x:f>IFERROR(I76/J76,0)</x:f>
        <x:v>0.7580645161290323</x:v>
      </x:c>
      <x:c r="M76" s="2590" t="s">
        <x:v>137</x:v>
      </x:c>
      <x:c r="N76" s="2590" t="s">
        <x:v>193</x:v>
      </x:c>
      <x:c r="O76" s="2590" t="s">
        <x:v>140</x:v>
      </x:c>
      <x:c r="P76" s="2581" t="s">
        <x:v>622</x:v>
      </x:c>
      <x:c r="Q76" s="1155"/>
    </x:row>
    <x:row r="77" ht="36" customHeight="1">
      <x:c r="A77" s="2796">
        <x:v>45962</x:v>
      </x:c>
      <x:c r="B77" s="2797">
        <x:v>46022</x:v>
      </x:c>
      <x:c r="C77" s="2590" t="s">
        <x:v>538</x:v>
      </x:c>
      <x:c r="D77" s="2590" t="s">
        <x:v>190</x:v>
      </x:c>
      <x:c r="E77" s="2590" t="s">
        <x:v>95</x:v>
      </x:c>
      <x:c r="F77" s="2590" t="s">
        <x:v>621</x:v>
      </x:c>
      <x:c r="G77" s="2591" t="s">
        <x:v>373</x:v>
      </x:c>
      <x:c r="H77" s="2383">
        <x:v>12</x:v>
      </x:c>
      <x:c r="I77" s="2383">
        <x:v>22</x:v>
      </x:c>
      <x:c r="J77" s="2383" t="n">
        <x:f>SUM(H77:I77)</x:f>
        <x:v>34</x:v>
      </x:c>
      <x:c r="K77" s="2530" t="n">
        <x:f>IFERROR(H77/J77,0)</x:f>
        <x:v>0.35294117647058826</x:v>
      </x:c>
      <x:c r="L77" s="2530" t="n">
        <x:f>IFERROR(I77/J77,0)</x:f>
        <x:v>0.6470588235294118</x:v>
      </x:c>
      <x:c r="M77" s="2590" t="s">
        <x:v>137</x:v>
      </x:c>
      <x:c r="N77" s="2590" t="s">
        <x:v>193</x:v>
      </x:c>
      <x:c r="O77" s="2590" t="s">
        <x:v>140</x:v>
      </x:c>
      <x:c r="P77" s="2581" t="s">
        <x:v>622</x:v>
      </x:c>
      <x:c r="Q77" s="1155"/>
    </x:row>
    <x:row r="78" ht="36" customHeight="1">
      <x:c r="A78" s="2796">
        <x:v>45962</x:v>
      </x:c>
      <x:c r="B78" s="2797">
        <x:v>46022</x:v>
      </x:c>
      <x:c r="C78" s="2590" t="s">
        <x:v>538</x:v>
      </x:c>
      <x:c r="D78" s="2590" t="s">
        <x:v>190</x:v>
      </x:c>
      <x:c r="E78" s="2590" t="s">
        <x:v>95</x:v>
      </x:c>
      <x:c r="F78" s="2590" t="s">
        <x:v>621</x:v>
      </x:c>
      <x:c r="G78" s="2591" t="s">
        <x:v>592</x:v>
      </x:c>
      <x:c r="H78" s="2383">
        <x:v>19</x:v>
      </x:c>
      <x:c r="I78" s="2383">
        <x:v>0</x:v>
      </x:c>
      <x:c r="J78" s="2383" t="n">
        <x:f>SUM(H78:I78)</x:f>
        <x:v>19</x:v>
      </x:c>
      <x:c r="K78" s="2530" t="n">
        <x:f>IFERROR(H78/J78,0)</x:f>
        <x:v>1</x:v>
      </x:c>
      <x:c r="L78" s="2530" t="n">
        <x:f>IFERROR(I78/J78,0)</x:f>
        <x:v>0</x:v>
      </x:c>
      <x:c r="M78" s="2590" t="s">
        <x:v>137</x:v>
      </x:c>
      <x:c r="N78" s="2590" t="s">
        <x:v>193</x:v>
      </x:c>
      <x:c r="O78" s="2590" t="s">
        <x:v>140</x:v>
      </x:c>
      <x:c r="P78" s="2581" t="s">
        <x:v>622</x:v>
      </x:c>
      <x:c r="Q78" s="1155"/>
    </x:row>
    <x:row r="79" ht="36" customHeight="1">
      <x:c r="A79" s="2796">
        <x:v>45962</x:v>
      </x:c>
      <x:c r="B79" s="2797">
        <x:v>46022</x:v>
      </x:c>
      <x:c r="C79" s="2590" t="s">
        <x:v>538</x:v>
      </x:c>
      <x:c r="D79" s="2590" t="s">
        <x:v>190</x:v>
      </x:c>
      <x:c r="E79" s="2590" t="s">
        <x:v>95</x:v>
      </x:c>
      <x:c r="F79" s="2590" t="s">
        <x:v>621</x:v>
      </x:c>
      <x:c r="G79" s="2591" t="s">
        <x:v>565</x:v>
      </x:c>
      <x:c r="H79" s="2383">
        <x:v>14</x:v>
      </x:c>
      <x:c r="I79" s="2383">
        <x:v>0</x:v>
      </x:c>
      <x:c r="J79" s="2383" t="n">
        <x:f>SUM(H79:I79)</x:f>
        <x:v>14</x:v>
      </x:c>
      <x:c r="K79" s="2530" t="n">
        <x:f>IFERROR(H79/J79,0)</x:f>
        <x:v>1</x:v>
      </x:c>
      <x:c r="L79" s="2530" t="n">
        <x:f>IFERROR(I79/J79,0)</x:f>
        <x:v>0</x:v>
      </x:c>
      <x:c r="M79" s="2590" t="s">
        <x:v>137</x:v>
      </x:c>
      <x:c r="N79" s="2590" t="s">
        <x:v>193</x:v>
      </x:c>
      <x:c r="O79" s="2590" t="s">
        <x:v>140</x:v>
      </x:c>
      <x:c r="P79" s="2581" t="s">
        <x:v>622</x:v>
      </x:c>
      <x:c r="Q79" s="1155"/>
    </x:row>
    <x:row r="80" ht="36" customHeight="1">
      <x:c r="A80" s="2796">
        <x:v>45962</x:v>
      </x:c>
      <x:c r="B80" s="2797">
        <x:v>46022</x:v>
      </x:c>
      <x:c r="C80" s="2590" t="s">
        <x:v>538</x:v>
      </x:c>
      <x:c r="D80" s="2590" t="s">
        <x:v>190</x:v>
      </x:c>
      <x:c r="E80" s="2590" t="s">
        <x:v>95</x:v>
      </x:c>
      <x:c r="F80" s="2590" t="s">
        <x:v>621</x:v>
      </x:c>
      <x:c r="G80" s="2591" t="s">
        <x:v>567</x:v>
      </x:c>
      <x:c r="H80" s="2383">
        <x:v>19</x:v>
      </x:c>
      <x:c r="I80" s="2383">
        <x:v>0</x:v>
      </x:c>
      <x:c r="J80" s="2383" t="n">
        <x:f>SUM(H80:I80)</x:f>
        <x:v>19</x:v>
      </x:c>
      <x:c r="K80" s="2530" t="n">
        <x:f>IFERROR(H80/J80,0)</x:f>
        <x:v>1</x:v>
      </x:c>
      <x:c r="L80" s="2530" t="n">
        <x:f>IFERROR(I80/J80,0)</x:f>
        <x:v>0</x:v>
      </x:c>
      <x:c r="M80" s="2590" t="s">
        <x:v>137</x:v>
      </x:c>
      <x:c r="N80" s="2590" t="s">
        <x:v>193</x:v>
      </x:c>
      <x:c r="O80" s="2590" t="s">
        <x:v>140</x:v>
      </x:c>
      <x:c r="P80" s="2581" t="s">
        <x:v>622</x:v>
      </x:c>
      <x:c r="Q80" s="1155"/>
    </x:row>
    <x:row r="81" ht="36" customHeight="1">
      <x:c r="A81" s="2796">
        <x:v>45962</x:v>
      </x:c>
      <x:c r="B81" s="2797">
        <x:v>46022</x:v>
      </x:c>
      <x:c r="C81" s="2590" t="s">
        <x:v>538</x:v>
      </x:c>
      <x:c r="D81" s="2590" t="s">
        <x:v>190</x:v>
      </x:c>
      <x:c r="E81" s="2590" t="s">
        <x:v>95</x:v>
      </x:c>
      <x:c r="F81" s="2590" t="s">
        <x:v>621</x:v>
      </x:c>
      <x:c r="G81" s="2591" t="s">
        <x:v>568</x:v>
      </x:c>
      <x:c r="H81" s="2383">
        <x:v>3</x:v>
      </x:c>
      <x:c r="I81" s="2383">
        <x:v>5</x:v>
      </x:c>
      <x:c r="J81" s="2383" t="n">
        <x:f>SUM(H81:I81)</x:f>
        <x:v>8</x:v>
      </x:c>
      <x:c r="K81" s="2530" t="n">
        <x:f>IFERROR(H81/J81,0)</x:f>
        <x:v>0.375</x:v>
      </x:c>
      <x:c r="L81" s="2530" t="n">
        <x:f>IFERROR(I81/J81,0)</x:f>
        <x:v>0.625</x:v>
      </x:c>
      <x:c r="M81" s="2590" t="s">
        <x:v>137</x:v>
      </x:c>
      <x:c r="N81" s="2590" t="s">
        <x:v>193</x:v>
      </x:c>
      <x:c r="O81" s="2590" t="s">
        <x:v>140</x:v>
      </x:c>
      <x:c r="P81" s="2581" t="s">
        <x:v>622</x:v>
      </x:c>
      <x:c r="Q81" s="1155"/>
    </x:row>
    <x:row r="82" ht="13.5" customHeight="1">
      <x:c r="A82" s="2798"/>
      <x:c r="B82" s="2799"/>
      <x:c r="C82" s="2793"/>
      <x:c r="D82" s="2793"/>
      <x:c r="E82" s="2793"/>
      <x:c r="F82" s="2793"/>
      <x:c r="G82" s="2794"/>
      <x:c r="H82" s="2793"/>
      <x:c r="I82" s="2793"/>
      <x:c r="J82" s="2793"/>
      <x:c r="K82" s="2800"/>
      <x:c r="L82" s="2800"/>
      <x:c r="M82" s="2793"/>
      <x:c r="N82" s="2793"/>
      <x:c r="O82" s="2793"/>
      <x:c r="P82" s="2795"/>
      <x:c r="Q82" s="145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8.85546875" defaultRowHeight="15"/>
  <x:cols>
    <x:col min="1" max="1" width="56.28515625" style="171" customWidth="1"/>
    <x:col min="2" max="2" width="21.85546875" style="171" customWidth="1"/>
    <x:col min="3" max="3" width="13.42578125" style="171" customWidth="1"/>
    <x:col min="4" max="4" width="20.42578125" style="171" customWidth="1"/>
    <x:col min="5" max="5" width="12.28515625" style="171" customWidth="1"/>
    <x:col min="6" max="6" width="11.140625" style="171" customWidth="1"/>
    <x:col min="7" max="7" width="14.85546875" style="171" customWidth="1"/>
    <x:col min="8" max="8" width="15.42578125" style="171" customWidth="1"/>
    <x:col min="9" max="9" width="18.42578125" style="171" customWidth="1"/>
    <x:col min="10" max="10" width="8.85546875" style="171" customWidth="1"/>
    <x:col min="11" max="16384" width="8.85546875" style="171" customWidth="0"/>
  </x:cols>
  <x:sheetData>
    <x:row r="1" ht="22.5" customHeight="1">
      <x:c r="A1" s="1197" t="s">
        <x:v>196</x:v>
      </x:c>
      <x:c r="B1" s="1198"/>
      <x:c r="C1" s="1199"/>
      <x:c r="D1" s="1199"/>
      <x:c r="E1" s="1199"/>
      <x:c r="F1" s="1199"/>
      <x:c r="G1" s="1200" t="s">
        <x:v>554</x:v>
      </x:c>
      <x:c r="H1" s="1201"/>
      <x:c r="I1" s="1202"/>
    </x:row>
    <x:row r="2" ht="16.5" customHeight="1">
      <x:c r="A2" s="1178"/>
      <x:c r="B2" s="1154"/>
      <x:c r="C2" s="1154"/>
      <x:c r="D2" s="1154"/>
      <x:c r="E2" s="1154"/>
      <x:c r="F2" s="1154"/>
      <x:c r="G2" s="1154"/>
      <x:c r="H2" s="861"/>
      <x:c r="I2" s="1155"/>
    </x:row>
    <x:row r="3" ht="34" customHeight="1">
      <x:c r="A3" s="932" t="s">
        <x:v>623</x:v>
      </x:c>
      <x:c r="B3" s="932" t="s">
        <x:v>486</x:v>
      </x:c>
      <x:c r="C3" s="932" t="s">
        <x:v>510</x:v>
      </x:c>
      <x:c r="D3" s="932" t="s">
        <x:v>488</x:v>
      </x:c>
      <x:c r="E3" s="932" t="s">
        <x:v>489</x:v>
      </x:c>
      <x:c r="F3" s="931" t="s">
        <x:v>511</x:v>
      </x:c>
      <x:c r="G3" s="1210"/>
      <x:c r="H3" s="918"/>
      <x:c r="I3" s="918"/>
    </x:row>
    <x:row r="4" ht="18" customHeight="1">
      <x:c r="A4" s="1232" t="s">
        <x:v>624</x:v>
      </x:c>
      <x:c r="B4" s="1248">
        <x:v>1514</x:v>
      </x:c>
      <x:c r="C4" s="1248">
        <x:v>1451</x:v>
      </x:c>
      <x:c r="D4" s="1248">
        <x:v>1606</x:v>
      </x:c>
      <x:c r="E4" s="1248">
        <x:v>1731</x:v>
      </x:c>
      <x:c r="F4" s="1248">
        <x:v>1551</x:v>
      </x:c>
      <x:c r="G4" s="1374"/>
      <x:c r="H4" s="918"/>
      <x:c r="I4" s="918"/>
    </x:row>
    <x:row r="5" ht="33.75" customHeight="1">
      <x:c r="A5" s="1232" t="s">
        <x:v>625</x:v>
      </x:c>
      <x:c r="B5" s="1382">
        <x:v>0.8</x:v>
      </x:c>
      <x:c r="C5" s="1382">
        <x:v>0.8</x:v>
      </x:c>
      <x:c r="D5" s="1382">
        <x:v>0.9</x:v>
      </x:c>
      <x:c r="E5" s="1383">
        <x:v>0.9</x:v>
      </x:c>
      <x:c r="F5" s="1383">
        <x:v>1.2</x:v>
      </x:c>
      <x:c r="G5" s="1210"/>
      <x:c r="H5" s="918"/>
      <x:c r="I5" s="918"/>
    </x:row>
    <x:row r="6" ht="16.5" customHeight="1">
      <x:c r="A6" s="916" t="s">
        <x:v>626</x:v>
      </x:c>
      <x:c r="B6" s="1210"/>
      <x:c r="C6" s="1210"/>
      <x:c r="D6" s="1210"/>
      <x:c r="E6" s="1210"/>
      <x:c r="F6" s="1210"/>
      <x:c r="G6" s="1210"/>
      <x:c r="H6" s="918"/>
      <x:c r="I6" s="918"/>
    </x:row>
    <x:row r="7" ht="16.5" customHeight="1">
      <x:c r="A7" s="916" t="s">
        <x:v>627</x:v>
      </x:c>
      <x:c r="B7" s="1210"/>
      <x:c r="C7" s="1210"/>
      <x:c r="D7" s="1210"/>
      <x:c r="E7" s="1210"/>
      <x:c r="F7" s="1210"/>
      <x:c r="G7" s="1210"/>
      <x:c r="H7" s="918"/>
      <x:c r="I7" s="918"/>
    </x:row>
    <x:row r="8" ht="13.5" customHeight="1">
      <x:c r="A8" s="1358" t="s">
        <x:v>628</x:v>
      </x:c>
      <x:c r="B8" s="853"/>
      <x:c r="C8" s="861"/>
      <x:c r="D8" s="861"/>
      <x:c r="E8" s="861"/>
      <x:c r="F8" s="861"/>
      <x:c r="G8" s="861"/>
      <x:c r="H8" s="861"/>
      <x:c r="I8" s="1155"/>
    </x:row>
    <x:row r="9" ht="16.5" customHeight="1">
      <x:c r="A9" s="1167" t="s">
        <x:v>629</x:v>
      </x:c>
      <x:c r="B9" s="853"/>
      <x:c r="C9" s="861"/>
      <x:c r="D9" s="861"/>
      <x:c r="E9" s="861"/>
      <x:c r="F9" s="861"/>
      <x:c r="G9" s="861"/>
      <x:c r="H9" s="861"/>
      <x:c r="I9" s="1155"/>
    </x:row>
    <x:row r="10" ht="16.5" customHeight="1">
      <x:c r="A10" s="1167" t="s">
        <x:v>630</x:v>
      </x:c>
      <x:c r="B10" s="853"/>
      <x:c r="C10" s="861"/>
      <x:c r="D10" s="861"/>
      <x:c r="E10" s="861"/>
      <x:c r="F10" s="861"/>
      <x:c r="G10" s="861"/>
      <x:c r="H10" s="861"/>
      <x:c r="I10" s="1155"/>
    </x:row>
    <x:row r="11" ht="117.75" customHeight="1">
      <x:c r="A11" s="1173" t="s">
        <x:v>631</x:v>
      </x:c>
      <x:c r="B11" s="853"/>
      <x:c r="C11" s="861"/>
      <x:c r="D11" s="861"/>
      <x:c r="E11" s="861"/>
      <x:c r="F11" s="861"/>
      <x:c r="G11" s="861"/>
      <x:c r="H11" s="861"/>
      <x:c r="I11" s="1155"/>
    </x:row>
    <x:row r="12" ht="13.5" customHeight="1">
      <x:c r="A12" s="1359"/>
      <x:c r="B12" s="853"/>
      <x:c r="C12" s="861"/>
      <x:c r="D12" s="861"/>
      <x:c r="E12" s="861"/>
      <x:c r="F12" s="861"/>
      <x:c r="G12" s="861"/>
      <x:c r="H12" s="861"/>
      <x:c r="I12" s="1155"/>
    </x:row>
    <x:row r="13" ht="13.5" customHeight="1">
      <x:c r="A13" s="1360"/>
      <x:c r="B13" s="853"/>
      <x:c r="C13" s="861"/>
      <x:c r="D13" s="861"/>
      <x:c r="E13" s="861"/>
      <x:c r="F13" s="861"/>
      <x:c r="G13" s="861"/>
      <x:c r="H13" s="861"/>
      <x:c r="I13" s="1155"/>
    </x:row>
    <x:row r="14" ht="53.25" customHeight="1">
      <x:c r="A14" s="1232" t="s">
        <x:v>632</x:v>
      </x:c>
      <x:c r="B14" s="932" t="s">
        <x:v>486</x:v>
      </x:c>
      <x:c r="C14" s="932" t="s">
        <x:v>510</x:v>
      </x:c>
      <x:c r="D14" s="932" t="s">
        <x:v>488</x:v>
      </x:c>
      <x:c r="E14" s="932" t="s">
        <x:v>489</x:v>
      </x:c>
      <x:c r="F14" s="931" t="s">
        <x:v>511</x:v>
      </x:c>
      <x:c r="G14" s="1210"/>
      <x:c r="H14" s="918"/>
      <x:c r="I14" s="918"/>
    </x:row>
    <x:row r="15" ht="16.5" customHeight="1">
      <x:c r="A15" s="1232" t="s">
        <x:v>633</x:v>
      </x:c>
      <x:c r="B15" s="1248">
        <x:v>908</x:v>
      </x:c>
      <x:c r="C15" s="1248">
        <x:v>888</x:v>
      </x:c>
      <x:c r="D15" s="1248">
        <x:v>1020</x:v>
      </x:c>
      <x:c r="E15" s="1248">
        <x:v>1032</x:v>
      </x:c>
      <x:c r="F15" s="1210"/>
      <x:c r="G15" s="1210"/>
      <x:c r="H15" s="918"/>
      <x:c r="I15" s="918"/>
    </x:row>
    <x:row r="16" ht="16.5" customHeight="1">
      <x:c r="A16" s="1232" t="s">
        <x:v>634</x:v>
      </x:c>
      <x:c r="B16" s="1382">
        <x:v>32.700000000000003</x:v>
      </x:c>
      <x:c r="C16" s="1382">
        <x:v>31.3</x:v>
      </x:c>
      <x:c r="D16" s="1382">
        <x:v>35.200000000000003</x:v>
      </x:c>
      <x:c r="E16" s="1382">
        <x:v>34.590000000000003</x:v>
      </x:c>
      <x:c r="F16" s="1374"/>
      <x:c r="G16" s="1388"/>
      <x:c r="H16" s="918"/>
      <x:c r="I16" s="918"/>
    </x:row>
    <x:row r="17" ht="16.5" customHeight="1">
      <x:c r="A17" s="1232" t="s">
        <x:v>635</x:v>
      </x:c>
      <x:c r="B17" s="1248">
        <x:v>125</x:v>
      </x:c>
      <x:c r="C17" s="1248">
        <x:v>116</x:v>
      </x:c>
      <x:c r="D17" s="1248">
        <x:v>127</x:v>
      </x:c>
      <x:c r="E17" s="900">
        <x:v>140</x:v>
      </x:c>
      <x:c r="F17" s="1210"/>
      <x:c r="G17" s="918"/>
      <x:c r="H17" s="918"/>
      <x:c r="I17" s="918"/>
    </x:row>
    <x:row r="18" ht="16.5" customHeight="1">
      <x:c r="A18" s="1232" t="s">
        <x:v>636</x:v>
      </x:c>
      <x:c r="B18" s="1382">
        <x:v>1.5</x:v>
      </x:c>
      <x:c r="C18" s="1382">
        <x:v>1.39</x:v>
      </x:c>
      <x:c r="D18" s="1382">
        <x:v>1.52099269324691</x:v>
      </x:c>
      <x:c r="E18" s="1382">
        <x:v>1.68</x:v>
      </x:c>
      <x:c r="F18" s="1210"/>
      <x:c r="G18" s="918"/>
      <x:c r="H18" s="918"/>
      <x:c r="I18" s="918"/>
    </x:row>
    <x:row r="19" ht="16.5" customHeight="1">
      <x:c r="A19" s="1232" t="s">
        <x:v>637</x:v>
      </x:c>
      <x:c r="B19" s="1248">
        <x:v>1033</x:v>
      </x:c>
      <x:c r="C19" s="1248">
        <x:v>1004</x:v>
      </x:c>
      <x:c r="D19" s="1248">
        <x:v>1147</x:v>
      </x:c>
      <x:c r="E19" s="1248">
        <x:v>1172</x:v>
      </x:c>
      <x:c r="F19" s="1210"/>
      <x:c r="G19" s="918"/>
      <x:c r="H19" s="918"/>
      <x:c r="I19" s="918"/>
    </x:row>
    <x:row r="20" ht="16.5" customHeight="1">
      <x:c r="A20" s="916" t="s">
        <x:v>626</x:v>
      </x:c>
      <x:c r="B20" s="1210"/>
      <x:c r="C20" s="1210"/>
      <x:c r="D20" s="1210"/>
      <x:c r="E20" s="1210"/>
      <x:c r="F20" s="1210"/>
      <x:c r="G20" s="918"/>
      <x:c r="H20" s="918"/>
      <x:c r="I20" s="918"/>
    </x:row>
    <x:row r="21" ht="16.5" customHeight="1">
      <x:c r="A21" s="916" t="s">
        <x:v>638</x:v>
      </x:c>
      <x:c r="B21" s="1210"/>
      <x:c r="C21" s="1210"/>
      <x:c r="D21" s="1210"/>
      <x:c r="E21" s="1210"/>
      <x:c r="F21" s="1210"/>
      <x:c r="G21" s="918"/>
      <x:c r="H21" s="918"/>
      <x:c r="I21" s="918"/>
    </x:row>
    <x:row r="22" ht="16.5" customHeight="1">
      <x:c r="A22" s="1174"/>
      <x:c r="B22" s="1154"/>
      <x:c r="C22" s="1154"/>
      <x:c r="D22" s="1154"/>
      <x:c r="E22" s="1154"/>
      <x:c r="F22" s="1154"/>
      <x:c r="G22" s="861"/>
      <x:c r="H22" s="861"/>
      <x:c r="I22" s="1155"/>
    </x:row>
    <x:row r="23" ht="16.5" customHeight="1">
      <x:c r="A23" s="1174"/>
      <x:c r="B23" s="1154"/>
      <x:c r="C23" s="1154"/>
      <x:c r="D23" s="1154"/>
      <x:c r="E23" s="1154"/>
      <x:c r="F23" s="1154"/>
      <x:c r="G23" s="861"/>
      <x:c r="H23" s="861"/>
      <x:c r="I23" s="1155"/>
    </x:row>
    <x:row r="24" ht="18" customHeight="1">
      <x:c r="A24" s="1232" t="s">
        <x:v>639</x:v>
      </x:c>
      <x:c r="B24" s="1210"/>
      <x:c r="C24" s="1210"/>
      <x:c r="D24" s="1210"/>
      <x:c r="E24" s="1210"/>
      <x:c r="F24" s="1210"/>
      <x:c r="G24" s="918"/>
      <x:c r="H24" s="918"/>
      <x:c r="I24" s="918"/>
    </x:row>
    <x:row r="25" ht="53.25" customHeight="1">
      <x:c r="A25" s="1232" t="s">
        <x:v>640</x:v>
      </x:c>
      <x:c r="B25" s="932" t="s">
        <x:v>486</x:v>
      </x:c>
      <x:c r="C25" s="932" t="s">
        <x:v>510</x:v>
      </x:c>
      <x:c r="D25" s="932" t="s">
        <x:v>488</x:v>
      </x:c>
      <x:c r="E25" s="932" t="s">
        <x:v>489</x:v>
      </x:c>
      <x:c r="F25" s="931" t="s">
        <x:v>511</x:v>
      </x:c>
      <x:c r="G25" s="918"/>
      <x:c r="H25" s="918"/>
      <x:c r="I25" s="918"/>
    </x:row>
    <x:row r="26" ht="16.5" customHeight="1">
      <x:c r="A26" s="1232" t="s">
        <x:v>581</x:v>
      </x:c>
      <x:c r="B26" s="1382">
        <x:v>1</x:v>
      </x:c>
      <x:c r="C26" s="1382">
        <x:v>0.9</x:v>
      </x:c>
      <x:c r="D26" s="1382">
        <x:v>0.9</x:v>
      </x:c>
      <x:c r="E26" s="1382">
        <x:v>0.9</x:v>
      </x:c>
      <x:c r="F26" s="1383">
        <x:v>1.24821393778009</x:v>
      </x:c>
      <x:c r="G26" s="918"/>
      <x:c r="H26" s="918"/>
      <x:c r="I26" s="918"/>
    </x:row>
    <x:row r="27" ht="16.5" customHeight="1">
      <x:c r="A27" s="1232" t="s">
        <x:v>582</x:v>
      </x:c>
      <x:c r="B27" s="1382">
        <x:v>0.8</x:v>
      </x:c>
      <x:c r="C27" s="1382">
        <x:v>0.8</x:v>
      </x:c>
      <x:c r="D27" s="1382">
        <x:v>0.8</x:v>
      </x:c>
      <x:c r="E27" s="1382">
        <x:v>1</x:v>
      </x:c>
      <x:c r="F27" s="1383">
        <x:v>1.2325837898532099</x:v>
      </x:c>
      <x:c r="G27" s="918"/>
      <x:c r="H27" s="918"/>
      <x:c r="I27" s="918"/>
    </x:row>
    <x:row r="28" ht="16.5" customHeight="1">
      <x:c r="A28" s="1232" t="s">
        <x:v>583</x:v>
      </x:c>
      <x:c r="B28" s="1382">
        <x:v>0.8</x:v>
      </x:c>
      <x:c r="C28" s="1382">
        <x:v>0.7</x:v>
      </x:c>
      <x:c r="D28" s="1382">
        <x:v>0.9</x:v>
      </x:c>
      <x:c r="E28" s="1382">
        <x:v>0.9</x:v>
      </x:c>
      <x:c r="F28" s="1383">
        <x:v>1.22528259009858</x:v>
      </x:c>
      <x:c r="G28" s="918"/>
      <x:c r="H28" s="918"/>
      <x:c r="I28" s="918"/>
    </x:row>
    <x:row r="29" ht="16.5" customHeight="1">
      <x:c r="A29" s="916" t="s">
        <x:v>641</x:v>
      </x:c>
      <x:c r="B29" s="1210"/>
      <x:c r="C29" s="1210"/>
      <x:c r="D29" s="1210"/>
      <x:c r="E29" s="1210"/>
      <x:c r="F29" s="1210"/>
      <x:c r="G29" s="918"/>
      <x:c r="H29" s="918"/>
      <x:c r="I29" s="918"/>
    </x:row>
    <x:row r="30" ht="16.5" customHeight="1">
      <x:c r="A30" s="1363"/>
      <x:c r="B30" s="1154"/>
      <x:c r="C30" s="1154"/>
      <x:c r="D30" s="1154"/>
      <x:c r="E30" s="1154"/>
      <x:c r="F30" s="1154"/>
      <x:c r="G30" s="861"/>
      <x:c r="H30" s="861"/>
      <x:c r="I30" s="1155"/>
    </x:row>
    <x:row r="31" ht="18" customHeight="1">
      <x:c r="A31" s="1232" t="s">
        <x:v>642</x:v>
      </x:c>
      <x:c r="B31" s="1210"/>
      <x:c r="C31" s="1210"/>
      <x:c r="D31" s="1210"/>
      <x:c r="E31" s="1210"/>
      <x:c r="F31" s="1210"/>
      <x:c r="G31" s="918"/>
      <x:c r="H31" s="918"/>
      <x:c r="I31" s="918"/>
    </x:row>
    <x:row r="32" ht="53.25" customHeight="1">
      <x:c r="A32" s="1232" t="s">
        <x:v>643</x:v>
      </x:c>
      <x:c r="B32" s="932" t="s">
        <x:v>486</x:v>
      </x:c>
      <x:c r="C32" s="932" t="s">
        <x:v>510</x:v>
      </x:c>
      <x:c r="D32" s="932" t="s">
        <x:v>488</x:v>
      </x:c>
      <x:c r="E32" s="932" t="s">
        <x:v>489</x:v>
      </x:c>
      <x:c r="F32" s="931" t="s">
        <x:v>511</x:v>
      </x:c>
      <x:c r="G32" s="918"/>
      <x:c r="H32" s="918"/>
      <x:c r="I32" s="918"/>
    </x:row>
    <x:row r="33" ht="16.5" customHeight="1">
      <x:c r="A33" s="1232" t="s">
        <x:v>644</x:v>
      </x:c>
      <x:c r="B33" s="1382">
        <x:v>0.9</x:v>
      </x:c>
      <x:c r="C33" s="1382">
        <x:v>0.9</x:v>
      </x:c>
      <x:c r="D33" s="1382">
        <x:v>1</x:v>
      </x:c>
      <x:c r="E33" s="1382">
        <x:v>1.1000000000000001</x:v>
      </x:c>
      <x:c r="F33" s="1383">
        <x:v>1.07382979924015</x:v>
      </x:c>
      <x:c r="G33" s="1210"/>
      <x:c r="H33" s="1210"/>
      <x:c r="I33" s="1210"/>
    </x:row>
    <x:row r="34" ht="16.5" customHeight="1">
      <x:c r="A34" s="1232" t="s">
        <x:v>587</x:v>
      </x:c>
      <x:c r="B34" s="1382">
        <x:v>0.8</x:v>
      </x:c>
      <x:c r="C34" s="1382">
        <x:v>0.7</x:v>
      </x:c>
      <x:c r="D34" s="1382">
        <x:v>0.9</x:v>
      </x:c>
      <x:c r="E34" s="1382">
        <x:v>0.9</x:v>
      </x:c>
      <x:c r="F34" s="1383">
        <x:v>1.33916391622828</x:v>
      </x:c>
      <x:c r="G34" s="1210"/>
      <x:c r="H34" s="1210"/>
      <x:c r="I34" s="1210"/>
    </x:row>
    <x:row r="35" ht="16.5" customHeight="1">
      <x:c r="A35" s="1232" t="s">
        <x:v>588</x:v>
      </x:c>
      <x:c r="B35" s="1382">
        <x:v>1</x:v>
      </x:c>
      <x:c r="C35" s="1382">
        <x:v>0.7</x:v>
      </x:c>
      <x:c r="D35" s="1382">
        <x:v>0.6</x:v>
      </x:c>
      <x:c r="E35" s="1382">
        <x:v>0.6</x:v>
      </x:c>
      <x:c r="F35" s="1383">
        <x:v>1.24891357263197</x:v>
      </x:c>
      <x:c r="G35" s="1210"/>
      <x:c r="H35" s="1210"/>
      <x:c r="I35" s="1210"/>
    </x:row>
    <x:row r="36" ht="16.5" customHeight="1">
      <x:c r="A36" s="916" t="s">
        <x:v>645</x:v>
      </x:c>
      <x:c r="B36" s="1210"/>
      <x:c r="C36" s="1210"/>
      <x:c r="D36" s="1210"/>
      <x:c r="E36" s="1210"/>
      <x:c r="F36" s="1210"/>
      <x:c r="G36" s="1210"/>
      <x:c r="H36" s="1210"/>
      <x:c r="I36" s="1210"/>
    </x:row>
    <x:row r="37" ht="16.5" customHeight="1">
      <x:c r="A37" s="1174"/>
      <x:c r="B37" s="1154"/>
      <x:c r="C37" s="1154"/>
      <x:c r="D37" s="1154"/>
      <x:c r="E37" s="1154"/>
      <x:c r="F37" s="1154"/>
      <x:c r="G37" s="1154"/>
      <x:c r="H37" s="1154"/>
      <x:c r="I37" s="1177"/>
    </x:row>
    <x:row r="38" ht="16.5" customHeight="1">
      <x:c r="A38" s="1174"/>
      <x:c r="B38" s="1154"/>
      <x:c r="C38" s="1154"/>
      <x:c r="D38" s="1154"/>
      <x:c r="E38" s="1154"/>
      <x:c r="F38" s="1154"/>
      <x:c r="G38" s="1154"/>
      <x:c r="H38" s="1154"/>
      <x:c r="I38" s="1177"/>
    </x:row>
    <x:row r="39" ht="53.25" customHeight="1">
      <x:c r="A39" s="1232" t="s">
        <x:v>646</x:v>
      </x:c>
      <x:c r="B39" s="932" t="s">
        <x:v>489</x:v>
      </x:c>
      <x:c r="C39" s="931" t="s">
        <x:v>511</x:v>
      </x:c>
      <x:c r="D39" s="1210"/>
      <x:c r="E39" s="1210"/>
      <x:c r="F39" s="1210"/>
      <x:c r="G39" s="1210"/>
      <x:c r="H39" s="1210"/>
      <x:c r="I39" s="1210"/>
    </x:row>
    <x:row r="40" ht="16.5" customHeight="1">
      <x:c r="A40" s="1160" t="s">
        <x:v>647</x:v>
      </x:c>
      <x:c r="B40" s="1161">
        <x:v>771</x:v>
      </x:c>
      <x:c r="C40" s="1154"/>
      <x:c r="D40" s="1154"/>
      <x:c r="E40" s="1154"/>
      <x:c r="F40" s="1154"/>
      <x:c r="G40" s="1154"/>
      <x:c r="H40" s="1154"/>
      <x:c r="I40" s="1177"/>
    </x:row>
    <x:row r="41" ht="16.5" customHeight="1">
      <x:c r="A41" s="1160" t="s">
        <x:v>648</x:v>
      </x:c>
      <x:c r="B41" s="1161">
        <x:v>589</x:v>
      </x:c>
      <x:c r="C41" s="1154"/>
      <x:c r="D41" s="1154"/>
      <x:c r="E41" s="1154"/>
      <x:c r="F41" s="1154"/>
      <x:c r="G41" s="1154"/>
      <x:c r="H41" s="1154"/>
      <x:c r="I41" s="1177"/>
    </x:row>
    <x:row r="42" ht="16.5" customHeight="1">
      <x:c r="A42" s="1160" t="s">
        <x:v>649</x:v>
      </x:c>
      <x:c r="B42" s="1161">
        <x:v>226</x:v>
      </x:c>
      <x:c r="C42" s="1154"/>
      <x:c r="D42" s="1154"/>
      <x:c r="E42" s="1154"/>
      <x:c r="F42" s="1154"/>
      <x:c r="G42" s="1154"/>
      <x:c r="H42" s="1154"/>
      <x:c r="I42" s="1177"/>
    </x:row>
    <x:row r="43" ht="16.5" customHeight="1">
      <x:c r="A43" s="1160" t="s">
        <x:v>650</x:v>
      </x:c>
      <x:c r="B43" s="1161">
        <x:v>145</x:v>
      </x:c>
      <x:c r="C43" s="1154"/>
      <x:c r="D43" s="1154"/>
      <x:c r="E43" s="1154"/>
      <x:c r="F43" s="1154"/>
      <x:c r="G43" s="1154"/>
      <x:c r="H43" s="1154"/>
      <x:c r="I43" s="1177"/>
    </x:row>
    <x:row r="44" ht="16.5" customHeight="1">
      <x:c r="A44" s="916" t="s">
        <x:v>651</x:v>
      </x:c>
      <x:c r="B44" s="1210"/>
      <x:c r="C44" s="1210"/>
      <x:c r="D44" s="1210"/>
      <x:c r="E44" s="1210"/>
      <x:c r="F44" s="1210"/>
      <x:c r="G44" s="1210"/>
      <x:c r="H44" s="1210"/>
      <x:c r="I44" s="1210"/>
    </x:row>
    <x:row r="45" ht="13.5" customHeight="1">
      <x:c r="A45" s="1359"/>
      <x:c r="B45" s="853"/>
      <x:c r="C45" s="861"/>
      <x:c r="D45" s="861"/>
      <x:c r="E45" s="861"/>
      <x:c r="F45" s="861"/>
      <x:c r="G45" s="861"/>
      <x:c r="H45" s="861"/>
      <x:c r="I45" s="1155"/>
    </x:row>
    <x:row r="46" ht="13.5" customHeight="1">
      <x:c r="A46" s="1359"/>
      <x:c r="B46" s="853"/>
      <x:c r="C46" s="861"/>
      <x:c r="D46" s="861"/>
      <x:c r="E46" s="861"/>
      <x:c r="F46" s="861"/>
      <x:c r="G46" s="861"/>
      <x:c r="H46" s="861"/>
      <x:c r="I46" s="1155"/>
    </x:row>
    <x:row r="47" ht="13.5" customHeight="1">
      <x:c r="A47" s="1359"/>
      <x:c r="B47" s="853"/>
      <x:c r="C47" s="861"/>
      <x:c r="D47" s="861"/>
      <x:c r="E47" s="861"/>
      <x:c r="F47" s="861"/>
      <x:c r="G47" s="861"/>
      <x:c r="H47" s="861"/>
      <x:c r="I47" s="1155"/>
    </x:row>
    <x:row r="48" ht="125.25" customHeight="1">
      <x:c r="A48" s="1232" t="s">
        <x:v>652</x:v>
      </x:c>
      <x:c r="B48" s="931" t="s">
        <x:v>486</x:v>
      </x:c>
      <x:c r="C48" s="931" t="s">
        <x:v>653</x:v>
      </x:c>
      <x:c r="D48" s="932" t="s">
        <x:v>510</x:v>
      </x:c>
      <x:c r="E48" s="932" t="s">
        <x:v>653</x:v>
      </x:c>
      <x:c r="F48" s="932" t="s">
        <x:v>488</x:v>
      </x:c>
      <x:c r="G48" s="932" t="s">
        <x:v>653</x:v>
      </x:c>
      <x:c r="H48" s="932" t="s">
        <x:v>489</x:v>
      </x:c>
      <x:c r="I48" s="932" t="s">
        <x:v>653</x:v>
      </x:c>
    </x:row>
    <x:row r="49" ht="33.75" customHeight="1">
      <x:c r="A49" s="1232" t="s">
        <x:v>654</x:v>
      </x:c>
      <x:c r="B49" s="898">
        <x:v>199</x:v>
      </x:c>
      <x:c r="C49" s="1397">
        <x:v>5.1795939614784001E-2</x:v>
      </x:c>
      <x:c r="D49" s="900">
        <x:v>191</x:v>
      </x:c>
      <x:c r="E49" s="1398">
        <x:v>5.3085047248471399E-2</x:v>
      </x:c>
      <x:c r="F49" s="900">
        <x:v>217</x:v>
      </x:c>
      <x:c r="G49" s="1398">
        <x:v>5.3999999999999999E-2</x:v>
      </x:c>
      <x:c r="H49" s="900">
        <x:v>204</x:v>
      </x:c>
      <x:c r="I49" s="1398">
        <x:v>0.05</x:v>
      </x:c>
    </x:row>
    <x:row r="50" ht="33.75" customHeight="1">
      <x:c r="A50" s="1232" t="s">
        <x:v>655</x:v>
      </x:c>
      <x:c r="B50" s="898">
        <x:v>178</x:v>
      </x:c>
      <x:c r="C50" s="1397">
        <x:v>4.6330036439354502E-2</x:v>
      </x:c>
      <x:c r="D50" s="900">
        <x:v>178</x:v>
      </x:c>
      <x:c r="E50" s="1398">
        <x:v>4.9471928849360802E-2</x:v>
      </x:c>
      <x:c r="F50" s="900">
        <x:v>180</x:v>
      </x:c>
      <x:c r="G50" s="1398">
        <x:v>4.4999999999999998E-2</x:v>
      </x:c>
      <x:c r="H50" s="900">
        <x:v>204</x:v>
      </x:c>
      <x:c r="I50" s="1398">
        <x:v>0.05</x:v>
      </x:c>
    </x:row>
    <x:row r="51" ht="16.5" customHeight="1">
      <x:c r="A51" s="1232" t="s">
        <x:v>656</x:v>
      </x:c>
      <x:c r="B51" s="898">
        <x:v>176</x:v>
      </x:c>
      <x:c r="C51" s="1397">
        <x:v>4.5809474232170702E-2</x:v>
      </x:c>
      <x:c r="D51" s="900">
        <x:v>176</x:v>
      </x:c>
      <x:c r="E51" s="1398">
        <x:v>4.8916064480266801E-2</x:v>
      </x:c>
      <x:c r="F51" s="900">
        <x:v>178</x:v>
      </x:c>
      <x:c r="G51" s="1398">
        <x:v>4.3999999999999997E-2</x:v>
      </x:c>
      <x:c r="H51" s="900">
        <x:v>197</x:v>
      </x:c>
      <x:c r="I51" s="1398">
        <x:v>4.8000000000000001E-2</x:v>
      </x:c>
    </x:row>
    <x:row r="52" ht="16.5" customHeight="1">
      <x:c r="A52" s="1232" t="s">
        <x:v>657</x:v>
      </x:c>
      <x:c r="B52" s="898">
        <x:v>166</x:v>
      </x:c>
      <x:c r="C52" s="1397">
        <x:v>4.3206663196252E-2</x:v>
      </x:c>
      <x:c r="D52" s="900">
        <x:v>142</x:v>
      </x:c>
      <x:c r="E52" s="1398">
        <x:v>3.9466370205669801E-2</x:v>
      </x:c>
      <x:c r="F52" s="900">
        <x:v>151</x:v>
      </x:c>
      <x:c r="G52" s="1398">
        <x:v>3.7999999999999999E-2</x:v>
      </x:c>
      <x:c r="H52" s="900">
        <x:v>186</x:v>
      </x:c>
      <x:c r="I52" s="1398">
        <x:v>4.5999999999999999E-2</x:v>
      </x:c>
    </x:row>
    <x:row r="53" ht="16.5" customHeight="1">
      <x:c r="A53" s="1232" t="s">
        <x:v>658</x:v>
      </x:c>
      <x:c r="B53" s="898">
        <x:v>155</x:v>
      </x:c>
      <x:c r="C53" s="1397">
        <x:v>4.0343571056741301E-2</x:v>
      </x:c>
      <x:c r="D53" s="900">
        <x:v>141</x:v>
      </x:c>
      <x:c r="E53" s="1398">
        <x:v>3.9188438021122797E-2</x:v>
      </x:c>
      <x:c r="F53" s="900">
        <x:v>147</x:v>
      </x:c>
      <x:c r="G53" s="1398">
        <x:v>3.6999999999999998E-2</x:v>
      </x:c>
      <x:c r="H53" s="900">
        <x:v>165</x:v>
      </x:c>
      <x:c r="I53" s="1398">
        <x:v>0.04</x:v>
      </x:c>
    </x:row>
    <x:row r="54" ht="16.5" customHeight="1">
      <x:c r="A54" s="1232" t="s">
        <x:v>659</x:v>
      </x:c>
      <x:c r="B54" s="898">
        <x:v>133</x:v>
      </x:c>
      <x:c r="C54" s="1397">
        <x:v>3.4617386777719902E-2</x:v>
      </x:c>
      <x:c r="D54" s="900">
        <x:v>138</x:v>
      </x:c>
      <x:c r="E54" s="1398">
        <x:v>3.8354641467481902E-2</x:v>
      </x:c>
      <x:c r="F54" s="900">
        <x:v>144</x:v>
      </x:c>
      <x:c r="G54" s="1398">
        <x:v>3.5999999999999997E-2</x:v>
      </x:c>
      <x:c r="H54" s="900">
        <x:v>134</x:v>
      </x:c>
      <x:c r="I54" s="1398">
        <x:v>3.3000000000000002E-2</x:v>
      </x:c>
    </x:row>
    <x:row r="55" ht="33.75" customHeight="1">
      <x:c r="A55" s="1232" t="s">
        <x:v>660</x:v>
      </x:c>
      <x:c r="B55" s="898">
        <x:v>131</x:v>
      </x:c>
      <x:c r="C55" s="1397">
        <x:v>3.4096824570536199E-2</x:v>
      </x:c>
      <x:c r="D55" s="900">
        <x:v>132</x:v>
      </x:c>
      <x:c r="E55" s="1398">
        <x:v>3.6687048360200099E-2</x:v>
      </x:c>
      <x:c r="F55" s="900">
        <x:v>140</x:v>
      </x:c>
      <x:c r="G55" s="1398">
        <x:v>3.5000000000000003E-2</x:v>
      </x:c>
      <x:c r="H55" s="900">
        <x:v>128</x:v>
      </x:c>
      <x:c r="I55" s="1398">
        <x:v>3.1E-2</x:v>
      </x:c>
    </x:row>
    <x:row r="56" ht="33.75" customHeight="1">
      <x:c r="A56" s="1232" t="s">
        <x:v>661</x:v>
      </x:c>
      <x:c r="B56" s="898">
        <x:v>130</x:v>
      </x:c>
      <x:c r="C56" s="1397">
        <x:v>3.3836543466944299E-2</x:v>
      </x:c>
      <x:c r="D56" s="900">
        <x:v>113</x:v>
      </x:c>
      <x:c r="E56" s="1398">
        <x:v>3.1406336853807698E-2</x:v>
      </x:c>
      <x:c r="F56" s="900">
        <x:v>133</x:v>
      </x:c>
      <x:c r="G56" s="1398">
        <x:v>3.3000000000000002E-2</x:v>
      </x:c>
      <x:c r="H56" s="900">
        <x:v>123</x:v>
      </x:c>
      <x:c r="I56" s="1398">
        <x:v>0.03</x:v>
      </x:c>
    </x:row>
    <x:row r="57" ht="16.5" customHeight="1">
      <x:c r="A57" s="1232" t="s">
        <x:v>662</x:v>
      </x:c>
      <x:c r="B57" s="898">
        <x:v>129</x:v>
      </x:c>
      <x:c r="C57" s="1397">
        <x:v>3.3576262363352399E-2</x:v>
      </x:c>
      <x:c r="D57" s="900">
        <x:v>111</x:v>
      </x:c>
      <x:c r="E57" s="1398">
        <x:v>3.08504724847137E-2</x:v>
      </x:c>
      <x:c r="F57" s="900">
        <x:v>132</x:v>
      </x:c>
      <x:c r="G57" s="1398">
        <x:v>3.3000000000000002E-2</x:v>
      </x:c>
      <x:c r="H57" s="900">
        <x:v>117</x:v>
      </x:c>
      <x:c r="I57" s="1398">
        <x:v>2.9000000000000001E-2</x:v>
      </x:c>
    </x:row>
    <x:row r="58" ht="33.75" customHeight="1">
      <x:c r="A58" s="1232" t="s">
        <x:v>663</x:v>
      </x:c>
      <x:c r="B58" s="898">
        <x:v>110</x:v>
      </x:c>
      <x:c r="C58" s="1397">
        <x:v>2.8630921395106701E-2</x:v>
      </x:c>
      <x:c r="D58" s="900">
        <x:v>94</x:v>
      </x:c>
      <x:c r="E58" s="1398">
        <x:v>2.61256253474152E-2</x:v>
      </x:c>
      <x:c r="F58" s="900">
        <x:v>121</x:v>
      </x:c>
      <x:c r="G58" s="1398">
        <x:v>0.03</x:v>
      </x:c>
      <x:c r="H58" s="900">
        <x:v>105</x:v>
      </x:c>
      <x:c r="I58" s="1398">
        <x:v>2.5999999999999999E-2</x:v>
      </x:c>
    </x:row>
    <x:row r="59" ht="16.5" customHeight="1">
      <x:c r="A59" s="1232" t="s">
        <x:v>664</x:v>
      </x:c>
      <x:c r="B59" s="898">
        <x:v>97</x:v>
      </x:c>
      <x:c r="C59" s="1397">
        <x:v>2.5247267048412299E-2</x:v>
      </x:c>
      <x:c r="D59" s="900">
        <x:v>92</x:v>
      </x:c>
      <x:c r="E59" s="1398">
        <x:v>2.5569760978321299E-2</x:v>
      </x:c>
      <x:c r="F59" s="900">
        <x:v>120</x:v>
      </x:c>
      <x:c r="G59" s="1398">
        <x:v>0.03</x:v>
      </x:c>
      <x:c r="H59" s="900">
        <x:v>102</x:v>
      </x:c>
      <x:c r="I59" s="1398">
        <x:v>2.5000000000000001E-2</x:v>
      </x:c>
    </x:row>
    <x:row r="60" ht="33.75" customHeight="1">
      <x:c r="A60" s="1232" t="s">
        <x:v>665</x:v>
      </x:c>
      <x:c r="B60" s="898">
        <x:v>94</x:v>
      </x:c>
      <x:c r="C60" s="1397">
        <x:v>2.4466423737636599E-2</x:v>
      </x:c>
      <x:c r="D60" s="900">
        <x:v>90</x:v>
      </x:c>
      <x:c r="E60" s="1398">
        <x:v>2.5013896609227301E-2</x:v>
      </x:c>
      <x:c r="F60" s="900">
        <x:v>115</x:v>
      </x:c>
      <x:c r="G60" s="1398">
        <x:v>2.9000000000000001E-2</x:v>
      </x:c>
      <x:c r="H60" s="900">
        <x:v>96</x:v>
      </x:c>
      <x:c r="I60" s="1398">
        <x:v>2.4E-2</x:v>
      </x:c>
    </x:row>
    <x:row r="61" ht="16.5" customHeight="1">
      <x:c r="A61" s="1232" t="s">
        <x:v>666</x:v>
      </x:c>
      <x:c r="B61" s="898">
        <x:v>92</x:v>
      </x:c>
      <x:c r="C61" s="1397">
        <x:v>2.3945861530452899E-2</x:v>
      </x:c>
      <x:c r="D61" s="900">
        <x:v>89</x:v>
      </x:c>
      <x:c r="E61" s="1398">
        <x:v>2.4735964424680401E-2</x:v>
      </x:c>
      <x:c r="F61" s="900">
        <x:v>100</x:v>
      </x:c>
      <x:c r="G61" s="1398">
        <x:v>2.5000000000000001E-2</x:v>
      </x:c>
      <x:c r="H61" s="900">
        <x:v>95</x:v>
      </x:c>
      <x:c r="I61" s="1398">
        <x:v>2.3E-2</x:v>
      </x:c>
    </x:row>
    <x:row r="62" ht="33.75" customHeight="1">
      <x:c r="A62" s="1232" t="s">
        <x:v>667</x:v>
      </x:c>
      <x:c r="B62" s="898">
        <x:v>91</x:v>
      </x:c>
      <x:c r="C62" s="1397">
        <x:v>2.3685580426860999E-2</x:v>
      </x:c>
      <x:c r="D62" s="900">
        <x:v>89</x:v>
      </x:c>
      <x:c r="E62" s="1398">
        <x:v>2.4735964424680401E-2</x:v>
      </x:c>
      <x:c r="F62" s="900">
        <x:v>93</x:v>
      </x:c>
      <x:c r="G62" s="1398">
        <x:v>2.3E-2</x:v>
      </x:c>
      <x:c r="H62" s="900">
        <x:v>95</x:v>
      </x:c>
      <x:c r="I62" s="1398">
        <x:v>2.3E-2</x:v>
      </x:c>
    </x:row>
    <x:row r="63" ht="16.5" customHeight="1">
      <x:c r="A63" s="1232" t="s">
        <x:v>668</x:v>
      </x:c>
      <x:c r="B63" s="898">
        <x:v>78</x:v>
      </x:c>
      <x:c r="C63" s="1397">
        <x:v>2.03019260801666E-2</x:v>
      </x:c>
      <x:c r="D63" s="900">
        <x:v>77</x:v>
      </x:c>
      <x:c r="E63" s="1398">
        <x:v>2.1400778210116701E-2</x:v>
      </x:c>
      <x:c r="F63" s="900">
        <x:v>92</x:v>
      </x:c>
      <x:c r="G63" s="1398">
        <x:v>2.3E-2</x:v>
      </x:c>
      <x:c r="H63" s="900">
        <x:v>87</x:v>
      </x:c>
      <x:c r="I63" s="1398">
        <x:v>2.1000000000000001E-2</x:v>
      </x:c>
    </x:row>
    <x:row r="64" ht="16.5" customHeight="1">
      <x:c r="A64" s="1232" t="s">
        <x:v>669</x:v>
      </x:c>
      <x:c r="B64" s="898">
        <x:v>78</x:v>
      </x:c>
      <x:c r="C64" s="1397">
        <x:v>2.03019260801666E-2</x:v>
      </x:c>
      <x:c r="D64" s="900">
        <x:v>68</x:v>
      </x:c>
      <x:c r="E64" s="1398">
        <x:v>1.8899388549193999E-2</x:v>
      </x:c>
      <x:c r="F64" s="900">
        <x:v>91</x:v>
      </x:c>
      <x:c r="G64" s="1398">
        <x:v>2.3E-2</x:v>
      </x:c>
      <x:c r="H64" s="900">
        <x:v>86</x:v>
      </x:c>
      <x:c r="I64" s="1398">
        <x:v>2.1000000000000001E-2</x:v>
      </x:c>
    </x:row>
    <x:row r="65" ht="16.5" customHeight="1">
      <x:c r="A65" s="1232" t="s">
        <x:v>670</x:v>
      </x:c>
      <x:c r="B65" s="898">
        <x:v>76</x:v>
      </x:c>
      <x:c r="C65" s="1397">
        <x:v>1.97813638729828E-2</x:v>
      </x:c>
      <x:c r="D65" s="900">
        <x:v>64</x:v>
      </x:c>
      <x:c r="E65" s="1398">
        <x:v>1.77876598110061E-2</x:v>
      </x:c>
      <x:c r="F65" s="900">
        <x:v>74</x:v>
      </x:c>
      <x:c r="G65" s="1398">
        <x:v>1.7999999999999999E-2</x:v>
      </x:c>
      <x:c r="H65" s="900">
        <x:v>79</x:v>
      </x:c>
      <x:c r="I65" s="1398">
        <x:v>1.9E-2</x:v>
      </x:c>
    </x:row>
    <x:row r="66" ht="16.5" customHeight="1">
      <x:c r="A66" s="1232" t="s">
        <x:v>671</x:v>
      </x:c>
      <x:c r="B66" s="898">
        <x:v>75</x:v>
      </x:c>
      <x:c r="C66" s="1397">
        <x:v>1.95210827693909E-2</x:v>
      </x:c>
      <x:c r="D66" s="900">
        <x:v>63</x:v>
      </x:c>
      <x:c r="E66" s="1398">
        <x:v>1.7509727626459099E-2</x:v>
      </x:c>
      <x:c r="F66" s="900">
        <x:v>74</x:v>
      </x:c>
      <x:c r="G66" s="1398">
        <x:v>1.7999999999999999E-2</x:v>
      </x:c>
      <x:c r="H66" s="900">
        <x:v>75</x:v>
      </x:c>
      <x:c r="I66" s="1398">
        <x:v>1.7999999999999999E-2</x:v>
      </x:c>
    </x:row>
    <x:row r="67" ht="16.5" customHeight="1">
      <x:c r="A67" s="1232" t="s">
        <x:v>672</x:v>
      </x:c>
      <x:c r="B67" s="898">
        <x:v>66</x:v>
      </x:c>
      <x:c r="C67" s="1397">
        <x:v>1.7178552837064001E-2</x:v>
      </x:c>
      <x:c r="D67" s="900">
        <x:v>60</x:v>
      </x:c>
      <x:c r="E67" s="1398">
        <x:v>1.6675931072818201E-2</x:v>
      </x:c>
      <x:c r="F67" s="900">
        <x:v>69</x:v>
      </x:c>
      <x:c r="G67" s="1398">
        <x:v>1.7000000000000001E-2</x:v>
      </x:c>
      <x:c r="H67" s="900">
        <x:v>74</x:v>
      </x:c>
      <x:c r="I67" s="1398">
        <x:v>1.7999999999999999E-2</x:v>
      </x:c>
    </x:row>
    <x:row r="68" ht="16.5" customHeight="1">
      <x:c r="A68" s="1232" t="s">
        <x:v>673</x:v>
      </x:c>
      <x:c r="B68" s="898">
        <x:v>64</x:v>
      </x:c>
      <x:c r="C68" s="1397">
        <x:v>1.6657990629880302E-2</x:v>
      </x:c>
      <x:c r="D68" s="900">
        <x:v>60</x:v>
      </x:c>
      <x:c r="E68" s="1398">
        <x:v>1.6675931072818201E-2</x:v>
      </x:c>
      <x:c r="F68" s="900">
        <x:v>66</x:v>
      </x:c>
      <x:c r="G68" s="1398">
        <x:v>1.6E-2</x:v>
      </x:c>
      <x:c r="H68" s="900">
        <x:v>73</x:v>
      </x:c>
      <x:c r="I68" s="1398">
        <x:v>1.7999999999999999E-2</x:v>
      </x:c>
    </x:row>
    <x:row r="69" ht="16.5" customHeight="1">
      <x:c r="A69" s="916" t="s">
        <x:v>674</x:v>
      </x:c>
      <x:c r="B69" s="1210"/>
      <x:c r="C69" s="1210"/>
      <x:c r="D69" s="1210"/>
      <x:c r="E69" s="1210"/>
      <x:c r="F69" s="1210"/>
      <x:c r="G69" s="1210"/>
      <x:c r="H69" s="1210"/>
      <x:c r="I69" s="1210"/>
    </x:row>
    <x:row r="70" ht="13.5" customHeight="1">
      <x:c r="A70" s="1359"/>
      <x:c r="B70" s="853"/>
      <x:c r="C70" s="861"/>
      <x:c r="D70" s="861"/>
      <x:c r="E70" s="861"/>
      <x:c r="F70" s="861"/>
      <x:c r="G70" s="861"/>
      <x:c r="H70" s="861"/>
      <x:c r="I70" s="1155"/>
    </x:row>
    <x:row r="71" ht="13.5" customHeight="1">
      <x:c r="A71" s="1359"/>
      <x:c r="B71" s="853"/>
      <x:c r="C71" s="861"/>
      <x:c r="D71" s="861"/>
      <x:c r="E71" s="861"/>
      <x:c r="F71" s="861"/>
      <x:c r="G71" s="861"/>
      <x:c r="H71" s="861"/>
      <x:c r="I71" s="1155"/>
    </x:row>
    <x:row r="72" ht="53.25" customHeight="1">
      <x:c r="A72" s="1232" t="s">
        <x:v>675</x:v>
      </x:c>
      <x:c r="B72" s="932" t="s">
        <x:v>486</x:v>
      </x:c>
      <x:c r="C72" s="932" t="s">
        <x:v>510</x:v>
      </x:c>
      <x:c r="D72" s="932" t="s">
        <x:v>488</x:v>
      </x:c>
      <x:c r="E72" s="932" t="s">
        <x:v>489</x:v>
      </x:c>
      <x:c r="F72" s="1210"/>
      <x:c r="G72" s="1210"/>
      <x:c r="H72" s="1210"/>
      <x:c r="I72" s="1210"/>
    </x:row>
    <x:row r="73" ht="33.75" customHeight="1">
      <x:c r="A73" s="1232" t="s">
        <x:v>676</x:v>
      </x:c>
      <x:c r="B73" s="900">
        <x:v>199</x:v>
      </x:c>
      <x:c r="C73" s="900">
        <x:v>191</x:v>
      </x:c>
      <x:c r="D73" s="900">
        <x:v>217</x:v>
      </x:c>
      <x:c r="E73" s="900">
        <x:v>204</x:v>
      </x:c>
      <x:c r="F73" s="1210"/>
      <x:c r="G73" s="1210"/>
      <x:c r="H73" s="1210"/>
      <x:c r="I73" s="1210"/>
    </x:row>
    <x:row r="74" ht="33.75" customHeight="1">
      <x:c r="A74" s="1232" t="s">
        <x:v>677</x:v>
      </x:c>
      <x:c r="B74" s="900">
        <x:v>176</x:v>
      </x:c>
      <x:c r="C74" s="900">
        <x:v>141</x:v>
      </x:c>
      <x:c r="D74" s="900">
        <x:v>178</x:v>
      </x:c>
      <x:c r="E74" s="900">
        <x:v>204</x:v>
      </x:c>
      <x:c r="F74" s="1210"/>
      <x:c r="G74" s="1210"/>
      <x:c r="H74" s="1210"/>
      <x:c r="I74" s="1210"/>
    </x:row>
    <x:row r="75" ht="16.5" customHeight="1">
      <x:c r="A75" s="1232" t="s">
        <x:v>678</x:v>
      </x:c>
      <x:c r="B75" s="900">
        <x:v>178</x:v>
      </x:c>
      <x:c r="C75" s="900">
        <x:v>178</x:v>
      </x:c>
      <x:c r="D75" s="900">
        <x:v>180</x:v>
      </x:c>
      <x:c r="E75" s="900">
        <x:v>197</x:v>
      </x:c>
      <x:c r="F75" s="1210"/>
      <x:c r="G75" s="1210"/>
      <x:c r="H75" s="1210"/>
      <x:c r="I75" s="1210"/>
    </x:row>
    <x:row r="76" ht="16.5" customHeight="1">
      <x:c r="A76" s="1232" t="s">
        <x:v>679</x:v>
      </x:c>
      <x:c r="B76" s="900">
        <x:v>166</x:v>
      </x:c>
      <x:c r="C76" s="900">
        <x:v>176</x:v>
      </x:c>
      <x:c r="D76" s="900">
        <x:v>147</x:v>
      </x:c>
      <x:c r="E76" s="900">
        <x:v>186</x:v>
      </x:c>
      <x:c r="F76" s="1210"/>
      <x:c r="G76" s="1210"/>
      <x:c r="H76" s="1210"/>
      <x:c r="I76" s="1210"/>
    </x:row>
    <x:row r="77" ht="16.5" customHeight="1">
      <x:c r="A77" s="1232" t="s">
        <x:v>658</x:v>
      </x:c>
      <x:c r="B77" s="900">
        <x:v>110</x:v>
      </x:c>
      <x:c r="C77" s="900">
        <x:v>138</x:v>
      </x:c>
      <x:c r="D77" s="900">
        <x:v>151</x:v>
      </x:c>
      <x:c r="E77" s="900">
        <x:v>165</x:v>
      </x:c>
      <x:c r="F77" s="1210"/>
      <x:c r="G77" s="1210"/>
      <x:c r="H77" s="1210"/>
      <x:c r="I77" s="1210"/>
    </x:row>
    <x:row r="78" ht="16.5" customHeight="1">
      <x:c r="A78" s="916" t="s">
        <x:v>674</x:v>
      </x:c>
      <x:c r="B78" s="1210"/>
      <x:c r="C78" s="1210"/>
      <x:c r="D78" s="1210"/>
      <x:c r="E78" s="1210"/>
      <x:c r="F78" s="1210"/>
      <x:c r="G78" s="1210"/>
      <x:c r="H78" s="1210"/>
      <x:c r="I78" s="1210"/>
    </x:row>
    <x:row r="79" ht="16.5" customHeight="1">
      <x:c r="A79" s="1174"/>
      <x:c r="B79" s="1154"/>
      <x:c r="C79" s="1154"/>
      <x:c r="D79" s="1154"/>
      <x:c r="E79" s="1154"/>
      <x:c r="F79" s="1154"/>
      <x:c r="G79" s="1154"/>
      <x:c r="H79" s="1154"/>
      <x:c r="I79" s="1177"/>
    </x:row>
    <x:row r="80" ht="16.5" customHeight="1">
      <x:c r="A80" s="1167" t="s">
        <x:v>680</x:v>
      </x:c>
      <x:c r="B80" s="1154"/>
      <x:c r="C80" s="1154"/>
      <x:c r="D80" s="1154"/>
      <x:c r="E80" s="1154"/>
      <x:c r="F80" s="1154"/>
      <x:c r="G80" s="1154"/>
      <x:c r="H80" s="1154"/>
      <x:c r="I80" s="1177"/>
    </x:row>
    <x:row r="81" ht="13.5" customHeight="1">
      <x:c r="A81" s="1169"/>
      <x:c r="B81" s="861"/>
      <x:c r="C81" s="861"/>
      <x:c r="D81" s="861"/>
      <x:c r="E81" s="861"/>
      <x:c r="F81" s="861"/>
      <x:c r="G81" s="861"/>
      <x:c r="H81" s="861"/>
      <x:c r="I81" s="1155"/>
    </x:row>
    <x:row r="82" ht="13.5" customHeight="1">
      <x:c r="A82" s="1169"/>
      <x:c r="B82" s="861"/>
      <x:c r="C82" s="861"/>
      <x:c r="D82" s="861"/>
      <x:c r="E82" s="861"/>
      <x:c r="F82" s="861"/>
      <x:c r="G82" s="861"/>
      <x:c r="H82" s="861"/>
      <x:c r="I82" s="1155"/>
    </x:row>
    <x:row r="83" ht="50.25" customHeight="1">
      <x:c r="A83" s="1232" t="s">
        <x:v>681</x:v>
      </x:c>
      <x:c r="B83" s="932" t="s">
        <x:v>489</x:v>
      </x:c>
      <x:c r="C83" s="1210"/>
      <x:c r="D83" s="1210"/>
      <x:c r="E83" s="1210"/>
      <x:c r="F83" s="1210"/>
      <x:c r="G83" s="1210"/>
      <x:c r="H83" s="1210"/>
      <x:c r="I83" s="1210"/>
    </x:row>
    <x:row r="84" ht="16.5" customHeight="1">
      <x:c r="A84" s="1160" t="s">
        <x:v>650</x:v>
      </x:c>
      <x:c r="B84" s="1161">
        <x:v>548</x:v>
      </x:c>
      <x:c r="C84" s="1154"/>
      <x:c r="D84" s="1154"/>
      <x:c r="E84" s="1154"/>
      <x:c r="F84" s="1154"/>
      <x:c r="G84" s="1154"/>
      <x:c r="H84" s="1154"/>
      <x:c r="I84" s="1177"/>
    </x:row>
    <x:row r="85" ht="16.5" customHeight="1">
      <x:c r="A85" s="1160" t="s">
        <x:v>647</x:v>
      </x:c>
      <x:c r="B85" s="1161">
        <x:v>458</x:v>
      </x:c>
      <x:c r="C85" s="1154"/>
      <x:c r="D85" s="1154"/>
      <x:c r="E85" s="1154"/>
      <x:c r="F85" s="1154"/>
      <x:c r="G85" s="1154"/>
      <x:c r="H85" s="1154"/>
      <x:c r="I85" s="1177"/>
    </x:row>
    <x:row r="86" ht="16.5" customHeight="1">
      <x:c r="A86" s="1160" t="s">
        <x:v>649</x:v>
      </x:c>
      <x:c r="B86" s="1161">
        <x:v>85</x:v>
      </x:c>
      <x:c r="C86" s="1154"/>
      <x:c r="D86" s="1154"/>
      <x:c r="E86" s="1154"/>
      <x:c r="F86" s="1154"/>
      <x:c r="G86" s="1154"/>
      <x:c r="H86" s="1154"/>
      <x:c r="I86" s="1177"/>
    </x:row>
    <x:row r="87" ht="16.5" customHeight="1">
      <x:c r="A87" s="1160" t="s">
        <x:v>648</x:v>
      </x:c>
      <x:c r="B87" s="1161">
        <x:v>81</x:v>
      </x:c>
      <x:c r="C87" s="1154"/>
      <x:c r="D87" s="1154"/>
      <x:c r="E87" s="1154"/>
      <x:c r="F87" s="1154"/>
      <x:c r="G87" s="1154"/>
      <x:c r="H87" s="1154"/>
      <x:c r="I87" s="1177"/>
    </x:row>
    <x:row r="88" ht="16.5" customHeight="1">
      <x:c r="A88" s="916" t="s">
        <x:v>682</x:v>
      </x:c>
      <x:c r="B88" s="1210"/>
      <x:c r="C88" s="1210"/>
      <x:c r="D88" s="1210"/>
      <x:c r="E88" s="1210"/>
      <x:c r="F88" s="1210"/>
      <x:c r="G88" s="1210"/>
      <x:c r="H88" s="1210"/>
      <x:c r="I88" s="1210"/>
    </x:row>
    <x:row r="89" ht="13.5" customHeight="1">
      <x:c r="A89" s="1359"/>
      <x:c r="B89" s="853"/>
      <x:c r="C89" s="861"/>
      <x:c r="D89" s="861"/>
      <x:c r="E89" s="861"/>
      <x:c r="F89" s="861"/>
      <x:c r="G89" s="861"/>
      <x:c r="H89" s="861"/>
      <x:c r="I89" s="1155"/>
    </x:row>
    <x:row r="90" ht="13.5" customHeight="1">
      <x:c r="A90" s="1360"/>
      <x:c r="B90" s="853"/>
      <x:c r="C90" s="861"/>
      <x:c r="D90" s="861"/>
      <x:c r="E90" s="861"/>
      <x:c r="F90" s="861"/>
      <x:c r="G90" s="861"/>
      <x:c r="H90" s="861"/>
      <x:c r="I90" s="1155"/>
    </x:row>
    <x:row r="91" ht="89.25" customHeight="1">
      <x:c r="A91" s="1232" t="s">
        <x:v>683</x:v>
      </x:c>
      <x:c r="B91" s="931" t="s">
        <x:v>486</x:v>
      </x:c>
      <x:c r="C91" s="931" t="s">
        <x:v>653</x:v>
      </x:c>
      <x:c r="D91" s="932" t="s">
        <x:v>510</x:v>
      </x:c>
      <x:c r="E91" s="932" t="s">
        <x:v>653</x:v>
      </x:c>
      <x:c r="F91" s="932" t="s">
        <x:v>488</x:v>
      </x:c>
      <x:c r="G91" s="932" t="s">
        <x:v>653</x:v>
      </x:c>
      <x:c r="H91" s="932" t="s">
        <x:v>489</x:v>
      </x:c>
      <x:c r="I91" s="932" t="s">
        <x:v>653</x:v>
      </x:c>
    </x:row>
    <x:row r="92" ht="33.75" customHeight="1">
      <x:c r="A92" s="1232" t="s">
        <x:v>667</x:v>
      </x:c>
      <x:c r="B92" s="898">
        <x:v>274</x:v>
      </x:c>
      <x:c r="C92" s="1397">
        <x:v>0.129857819905213</x:v>
      </x:c>
      <x:c r="D92" s="900">
        <x:v>251</x:v>
      </x:c>
      <x:c r="E92" s="1398">
        <x:v>0.121608527131783</x:v>
      </x:c>
      <x:c r="F92" s="900">
        <x:v>269</x:v>
      </x:c>
      <x:c r="G92" s="1398">
        <x:v>0.11899999999999999</x:v>
      </x:c>
      <x:c r="H92" s="900">
        <x:v>285</x:v>
      </x:c>
      <x:c r="I92" s="1398">
        <x:v>0.115</x:v>
      </x:c>
    </x:row>
    <x:row r="93" ht="16.5" customHeight="1">
      <x:c r="A93" s="1232" t="s">
        <x:v>671</x:v>
      </x:c>
      <x:c r="B93" s="898">
        <x:v>212</x:v>
      </x:c>
      <x:c r="C93" s="1397">
        <x:v>0.100473933649289</x:v>
      </x:c>
      <x:c r="D93" s="900">
        <x:v>210</x:v>
      </x:c>
      <x:c r="E93" s="1398">
        <x:v>0.101744186046512</x:v>
      </x:c>
      <x:c r="F93" s="900">
        <x:v>223</x:v>
      </x:c>
      <x:c r="G93" s="1398">
        <x:v>9.9000000000000005E-2</x:v>
      </x:c>
      <x:c r="H93" s="900">
        <x:v>240</x:v>
      </x:c>
      <x:c r="I93" s="1398">
        <x:v>9.7000000000000003E-2</x:v>
      </x:c>
    </x:row>
    <x:row r="94" ht="33.75" customHeight="1">
      <x:c r="A94" s="1232" t="s">
        <x:v>684</x:v>
      </x:c>
      <x:c r="B94" s="898">
        <x:v>143</x:v>
      </x:c>
      <x:c r="C94" s="1397">
        <x:v>6.7772511848341196E-2</x:v>
      </x:c>
      <x:c r="D94" s="900">
        <x:v>190</x:v>
      </x:c>
      <x:c r="E94" s="1398">
        <x:v>9.2054263565891498E-2</x:v>
      </x:c>
      <x:c r="F94" s="900">
        <x:v>163</x:v>
      </x:c>
      <x:c r="G94" s="1398">
        <x:v>7.1999999999999995E-2</x:v>
      </x:c>
      <x:c r="H94" s="900">
        <x:v>185</x:v>
      </x:c>
      <x:c r="I94" s="1398">
        <x:v>7.4999999999999997E-2</x:v>
      </x:c>
    </x:row>
    <x:row r="95" ht="33.75" customHeight="1">
      <x:c r="A95" s="1232" t="s">
        <x:v>685</x:v>
      </x:c>
      <x:c r="B95" s="898">
        <x:v>137</x:v>
      </x:c>
      <x:c r="C95" s="1397">
        <x:v>6.4928909952606598E-2</x:v>
      </x:c>
      <x:c r="D95" s="900">
        <x:v>103</x:v>
      </x:c>
      <x:c r="E95" s="1398">
        <x:v>4.9903100775193797E-2</x:v>
      </x:c>
      <x:c r="F95" s="900">
        <x:v>152</x:v>
      </x:c>
      <x:c r="G95" s="1398">
        <x:v>6.7000000000000004E-2</x:v>
      </x:c>
      <x:c r="H95" s="900">
        <x:v>136</x:v>
      </x:c>
      <x:c r="I95" s="1398">
        <x:v>5.5E-2</x:v>
      </x:c>
    </x:row>
    <x:row r="96" ht="16.5" customHeight="1">
      <x:c r="A96" s="1232" t="s">
        <x:v>686</x:v>
      </x:c>
      <x:c r="B96" s="898">
        <x:v>101</x:v>
      </x:c>
      <x:c r="C96" s="1397">
        <x:v>4.7867298578199102E-2</x:v>
      </x:c>
      <x:c r="D96" s="900">
        <x:v>94</x:v>
      </x:c>
      <x:c r="E96" s="1398">
        <x:v>4.5542635658914699E-2</x:v>
      </x:c>
      <x:c r="F96" s="900">
        <x:v>108</x:v>
      </x:c>
      <x:c r="G96" s="1398">
        <x:v>4.8000000000000001E-2</x:v>
      </x:c>
      <x:c r="H96" s="900">
        <x:v>123</x:v>
      </x:c>
      <x:c r="I96" s="1398">
        <x:v>0.05</x:v>
      </x:c>
    </x:row>
    <x:row r="97" ht="16.5" customHeight="1">
      <x:c r="A97" s="1232" t="s">
        <x:v>687</x:v>
      </x:c>
      <x:c r="B97" s="898">
        <x:v>97</x:v>
      </x:c>
      <x:c r="C97" s="1397">
        <x:v>4.5971563981042698E-2</x:v>
      </x:c>
      <x:c r="D97" s="900">
        <x:v>86</x:v>
      </x:c>
      <x:c r="E97" s="1398">
        <x:v>4.1666666666666699E-2</x:v>
      </x:c>
      <x:c r="F97" s="900">
        <x:v>92</x:v>
      </x:c>
      <x:c r="G97" s="1398">
        <x:v>4.1000000000000002E-2</x:v>
      </x:c>
      <x:c r="H97" s="900">
        <x:v>122</x:v>
      </x:c>
      <x:c r="I97" s="1398">
        <x:v>4.9000000000000002E-2</x:v>
      </x:c>
    </x:row>
    <x:row r="98" ht="33.75" customHeight="1">
      <x:c r="A98" s="1232" t="s">
        <x:v>688</x:v>
      </x:c>
      <x:c r="B98" s="898">
        <x:v>88</x:v>
      </x:c>
      <x:c r="C98" s="1397">
        <x:v>4.17061611374408E-2</x:v>
      </x:c>
      <x:c r="D98" s="900">
        <x:v>82</x:v>
      </x:c>
      <x:c r="E98" s="1398">
        <x:v>3.9728682170542602E-2</x:v>
      </x:c>
      <x:c r="F98" s="900">
        <x:v>91</x:v>
      </x:c>
      <x:c r="G98" s="1398">
        <x:v>0.04</x:v>
      </x:c>
      <x:c r="H98" s="900">
        <x:v>110</x:v>
      </x:c>
      <x:c r="I98" s="1398">
        <x:v>4.4999999999999998E-2</x:v>
      </x:c>
    </x:row>
    <x:row r="99" ht="16.5" customHeight="1">
      <x:c r="A99" s="1232" t="s">
        <x:v>689</x:v>
      </x:c>
      <x:c r="B99" s="898">
        <x:v>85</x:v>
      </x:c>
      <x:c r="C99" s="1397">
        <x:v>4.0284360189573501E-2</x:v>
      </x:c>
      <x:c r="D99" s="900">
        <x:v>76</x:v>
      </x:c>
      <x:c r="E99" s="1398">
        <x:v>3.6821705426356599E-2</x:v>
      </x:c>
      <x:c r="F99" s="900">
        <x:v>90</x:v>
      </x:c>
      <x:c r="G99" s="1398">
        <x:v>0.04</x:v>
      </x:c>
      <x:c r="H99" s="900">
        <x:v>106</x:v>
      </x:c>
      <x:c r="I99" s="1398">
        <x:v>4.2999999999999997E-2</x:v>
      </x:c>
    </x:row>
    <x:row r="100" ht="16.5" customHeight="1">
      <x:c r="A100" s="1232" t="s">
        <x:v>690</x:v>
      </x:c>
      <x:c r="B100" s="898">
        <x:v>81</x:v>
      </x:c>
      <x:c r="C100" s="1397">
        <x:v>3.8388625592417097E-2</x:v>
      </x:c>
      <x:c r="D100" s="900">
        <x:v>73</x:v>
      </x:c>
      <x:c r="E100" s="1398">
        <x:v>3.5368217054263601E-2</x:v>
      </x:c>
      <x:c r="F100" s="900">
        <x:v>88</x:v>
      </x:c>
      <x:c r="G100" s="1398">
        <x:v>3.9E-2</x:v>
      </x:c>
      <x:c r="H100" s="900">
        <x:v>97</x:v>
      </x:c>
      <x:c r="I100" s="1398">
        <x:v>3.9E-2</x:v>
      </x:c>
    </x:row>
    <x:row r="101" ht="16.5" customHeight="1">
      <x:c r="A101" s="1232" t="s">
        <x:v>691</x:v>
      </x:c>
      <x:c r="B101" s="898">
        <x:v>80</x:v>
      </x:c>
      <x:c r="C101" s="1397">
        <x:v>3.7914691943128E-2</x:v>
      </x:c>
      <x:c r="D101" s="900">
        <x:v>72</x:v>
      </x:c>
      <x:c r="E101" s="1398">
        <x:v>3.4883720930232599E-2</x:v>
      </x:c>
      <x:c r="F101" s="900">
        <x:v>83</x:v>
      </x:c>
      <x:c r="G101" s="1398">
        <x:v>3.6999999999999998E-2</x:v>
      </x:c>
      <x:c r="H101" s="900">
        <x:v>93</x:v>
      </x:c>
      <x:c r="I101" s="1398">
        <x:v>3.7999999999999999E-2</x:v>
      </x:c>
    </x:row>
    <x:row r="102" ht="16.5" customHeight="1">
      <x:c r="A102" s="1232" t="s">
        <x:v>692</x:v>
      </x:c>
      <x:c r="B102" s="898">
        <x:v>71</x:v>
      </x:c>
      <x:c r="C102" s="1397">
        <x:v>3.3649289099526102E-2</x:v>
      </x:c>
      <x:c r="D102" s="900">
        <x:v>70</x:v>
      </x:c>
      <x:c r="E102" s="1398">
        <x:v>3.3914728682170499E-2</x:v>
      </x:c>
      <x:c r="F102" s="900">
        <x:v>82</x:v>
      </x:c>
      <x:c r="G102" s="1398">
        <x:v>3.5999999999999997E-2</x:v>
      </x:c>
      <x:c r="H102" s="900">
        <x:v>89</x:v>
      </x:c>
      <x:c r="I102" s="1398">
        <x:v>3.5999999999999997E-2</x:v>
      </x:c>
    </x:row>
    <x:row r="103" ht="16.5" customHeight="1">
      <x:c r="A103" s="1232" t="s">
        <x:v>693</x:v>
      </x:c>
      <x:c r="B103" s="898">
        <x:v>71</x:v>
      </x:c>
      <x:c r="C103" s="1397">
        <x:v>3.3649289099526102E-2</x:v>
      </x:c>
      <x:c r="D103" s="900">
        <x:v>69</x:v>
      </x:c>
      <x:c r="E103" s="1398">
        <x:v>3.3430232558139497E-2</x:v>
      </x:c>
      <x:c r="F103" s="900">
        <x:v>72</x:v>
      </x:c>
      <x:c r="G103" s="1398">
        <x:v>3.2000000000000001E-2</x:v>
      </x:c>
      <x:c r="H103" s="900">
        <x:v>76</x:v>
      </x:c>
      <x:c r="I103" s="1398">
        <x:v>3.1E-2</x:v>
      </x:c>
    </x:row>
    <x:row r="104" ht="16.5" customHeight="1">
      <x:c r="A104" s="1232" t="s">
        <x:v>658</x:v>
      </x:c>
      <x:c r="B104" s="898">
        <x:v>70</x:v>
      </x:c>
      <x:c r="C104" s="1397">
        <x:v>3.3175355450236997E-2</x:v>
      </x:c>
      <x:c r="D104" s="900">
        <x:v>59</x:v>
      </x:c>
      <x:c r="E104" s="1398">
        <x:v>2.8585271317829501E-2</x:v>
      </x:c>
      <x:c r="F104" s="900">
        <x:v>70</x:v>
      </x:c>
      <x:c r="G104" s="1398">
        <x:v>3.1E-2</x:v>
      </x:c>
      <x:c r="H104" s="900">
        <x:v>71</x:v>
      </x:c>
      <x:c r="I104" s="1398">
        <x:v>2.9000000000000001E-2</x:v>
      </x:c>
    </x:row>
    <x:row r="105" ht="16.5" customHeight="1">
      <x:c r="A105" s="1232" t="s">
        <x:v>694</x:v>
      </x:c>
      <x:c r="B105" s="898">
        <x:v>60</x:v>
      </x:c>
      <x:c r="C105" s="1397">
        <x:v>2.8436018957346001E-2</x:v>
      </x:c>
      <x:c r="D105" s="900">
        <x:v>58</x:v>
      </x:c>
      <x:c r="E105" s="1398">
        <x:v>2.81007751937985E-2</x:v>
      </x:c>
      <x:c r="F105" s="900">
        <x:v>59</x:v>
      </x:c>
      <x:c r="G105" s="1398">
        <x:v>2.5999999999999999E-2</x:v>
      </x:c>
      <x:c r="H105" s="900">
        <x:v>66</x:v>
      </x:c>
      <x:c r="I105" s="1398">
        <x:v>2.7E-2</x:v>
      </x:c>
    </x:row>
    <x:row r="106" ht="33.75" customHeight="1">
      <x:c r="A106" s="1232" t="s">
        <x:v>663</x:v>
      </x:c>
      <x:c r="B106" s="898">
        <x:v>59</x:v>
      </x:c>
      <x:c r="C106" s="1397">
        <x:v>2.7962085308056901E-2</x:v>
      </x:c>
      <x:c r="D106" s="900">
        <x:v>53</x:v>
      </x:c>
      <x:c r="E106" s="1398">
        <x:v>2.5678294573643401E-2</x:v>
      </x:c>
      <x:c r="F106" s="900">
        <x:v>53</x:v>
      </x:c>
      <x:c r="G106" s="1398">
        <x:v>2.3E-2</x:v>
      </x:c>
      <x:c r="H106" s="900">
        <x:v>60</x:v>
      </x:c>
      <x:c r="I106" s="1398">
        <x:v>2.4E-2</x:v>
      </x:c>
    </x:row>
    <x:row r="107" ht="16.5" customHeight="1">
      <x:c r="A107" s="1232" t="s">
        <x:v>662</x:v>
      </x:c>
      <x:c r="B107" s="898">
        <x:v>53</x:v>
      </x:c>
      <x:c r="C107" s="1397">
        <x:v>2.5118483412322298E-2</x:v>
      </x:c>
      <x:c r="D107" s="900">
        <x:v>48</x:v>
      </x:c>
      <x:c r="E107" s="1398">
        <x:v>2.32558139534884E-2</x:v>
      </x:c>
      <x:c r="F107" s="900">
        <x:v>46</x:v>
      </x:c>
      <x:c r="G107" s="1398">
        <x:v>0.02</x:v>
      </x:c>
      <x:c r="H107" s="900">
        <x:v>58</x:v>
      </x:c>
      <x:c r="I107" s="1398">
        <x:v>2.3E-2</x:v>
      </x:c>
    </x:row>
    <x:row r="108" ht="16.5" customHeight="1">
      <x:c r="A108" s="1232" t="s">
        <x:v>695</x:v>
      </x:c>
      <x:c r="B108" s="898">
        <x:v>41</x:v>
      </x:c>
      <x:c r="C108" s="1397">
        <x:v>1.9431279620853101E-2</x:v>
      </x:c>
      <x:c r="D108" s="900">
        <x:v>48</x:v>
      </x:c>
      <x:c r="E108" s="1398">
        <x:v>2.32558139534884E-2</x:v>
      </x:c>
      <x:c r="F108" s="900">
        <x:v>46</x:v>
      </x:c>
      <x:c r="G108" s="1398">
        <x:v>0.02</x:v>
      </x:c>
      <x:c r="H108" s="900">
        <x:v>49</x:v>
      </x:c>
      <x:c r="I108" s="1398">
        <x:v>0.02</x:v>
      </x:c>
    </x:row>
    <x:row r="109" ht="16.5" customHeight="1">
      <x:c r="A109" s="1232" t="s">
        <x:v>696</x:v>
      </x:c>
      <x:c r="B109" s="898">
        <x:v>38</x:v>
      </x:c>
      <x:c r="C109" s="1397">
        <x:v>1.8009478672985801E-2</x:v>
      </x:c>
      <x:c r="D109" s="900">
        <x:v>44</x:v>
      </x:c>
      <x:c r="E109" s="1398">
        <x:v>2.1317829457364299E-2</x:v>
      </x:c>
      <x:c r="F109" s="900">
        <x:v>39</x:v>
      </x:c>
      <x:c r="G109" s="1398">
        <x:v>1.7000000000000001E-2</x:v>
      </x:c>
      <x:c r="H109" s="900">
        <x:v>46</x:v>
      </x:c>
      <x:c r="I109" s="1398">
        <x:v>1.9E-2</x:v>
      </x:c>
    </x:row>
    <x:row r="110" ht="33.75" customHeight="1">
      <x:c r="A110" s="1232" t="s">
        <x:v>661</x:v>
      </x:c>
      <x:c r="B110" s="898">
        <x:v>32</x:v>
      </x:c>
      <x:c r="C110" s="1397">
        <x:v>1.5165876777251199E-2</x:v>
      </x:c>
      <x:c r="D110" s="900">
        <x:v>38</x:v>
      </x:c>
      <x:c r="E110" s="1398">
        <x:v>1.84108527131783E-2</x:v>
      </x:c>
      <x:c r="F110" s="900">
        <x:v>39</x:v>
      </x:c>
      <x:c r="G110" s="1398">
        <x:v>1.7000000000000001E-2</x:v>
      </x:c>
      <x:c r="H110" s="900">
        <x:v>43</x:v>
      </x:c>
      <x:c r="I110" s="1398">
        <x:v>1.7000000000000001E-2</x:v>
      </x:c>
    </x:row>
    <x:row r="111" ht="33.75" customHeight="1">
      <x:c r="A111" s="1232" t="s">
        <x:v>697</x:v>
      </x:c>
      <x:c r="B111" s="898">
        <x:v>30</x:v>
      </x:c>
      <x:c r="C111" s="1397">
        <x:v>1.4218009478673001E-2</x:v>
      </x:c>
      <x:c r="D111" s="900">
        <x:v>33</x:v>
      </x:c>
      <x:c r="E111" s="1398">
        <x:v>1.5988372093023302E-2</x:v>
      </x:c>
      <x:c r="F111" s="900">
        <x:v>38</x:v>
      </x:c>
      <x:c r="G111" s="1398">
        <x:v>1.7000000000000001E-2</x:v>
      </x:c>
      <x:c r="H111" s="900">
        <x:v>43</x:v>
      </x:c>
      <x:c r="I111" s="1398">
        <x:v>1.7000000000000001E-2</x:v>
      </x:c>
    </x:row>
    <x:row r="112" ht="16.5" customHeight="1">
      <x:c r="A112" s="916" t="s">
        <x:v>698</x:v>
      </x:c>
      <x:c r="B112" s="1210"/>
      <x:c r="C112" s="1210"/>
      <x:c r="D112" s="1210"/>
      <x:c r="E112" s="1232" t="str">
        <x:f>IFERROR(IF(ROUND(B112,3)&lt;&gt;ROUND(D112,3),"Check",""),"")</x:f>
      </x:c>
      <x:c r="F112" s="1210"/>
      <x:c r="G112" s="1210"/>
      <x:c r="H112" s="1210"/>
      <x:c r="I112" s="1210"/>
    </x:row>
    <x:row r="113" ht="13.5" customHeight="1">
      <x:c r="A113" s="1169"/>
      <x:c r="B113" s="861"/>
      <x:c r="C113" s="861"/>
      <x:c r="D113" s="861"/>
      <x:c r="E113" s="861"/>
      <x:c r="F113" s="861"/>
      <x:c r="G113" s="861"/>
      <x:c r="H113" s="861"/>
      <x:c r="I113" s="1155"/>
    </x:row>
    <x:row r="114" ht="13.5" customHeight="1">
      <x:c r="A114" s="1169"/>
      <x:c r="B114" s="861"/>
      <x:c r="C114" s="861"/>
      <x:c r="D114" s="861"/>
      <x:c r="E114" s="861"/>
      <x:c r="F114" s="861"/>
      <x:c r="G114" s="861"/>
      <x:c r="H114" s="861"/>
      <x:c r="I114" s="1155"/>
    </x:row>
    <x:row r="115" ht="53.25" customHeight="1">
      <x:c r="A115" s="1232" t="s">
        <x:v>699</x:v>
      </x:c>
      <x:c r="B115" s="932" t="s">
        <x:v>486</x:v>
      </x:c>
      <x:c r="C115" s="932" t="s">
        <x:v>510</x:v>
      </x:c>
      <x:c r="D115" s="932" t="s">
        <x:v>488</x:v>
      </x:c>
      <x:c r="E115" s="932" t="s">
        <x:v>489</x:v>
      </x:c>
      <x:c r="F115" s="918"/>
      <x:c r="G115" s="918"/>
      <x:c r="H115" s="918"/>
      <x:c r="I115" s="918"/>
    </x:row>
    <x:row r="116" ht="33.75" customHeight="1">
      <x:c r="A116" s="1232" t="s">
        <x:v>700</x:v>
      </x:c>
      <x:c r="B116" s="900">
        <x:v>274</x:v>
      </x:c>
      <x:c r="C116" s="900">
        <x:v>251</x:v>
      </x:c>
      <x:c r="D116" s="900">
        <x:v>269</x:v>
      </x:c>
      <x:c r="E116" s="900">
        <x:v>285</x:v>
      </x:c>
      <x:c r="F116" s="918"/>
      <x:c r="G116" s="918"/>
      <x:c r="H116" s="918"/>
      <x:c r="I116" s="918"/>
    </x:row>
    <x:row r="117" ht="16.5" customHeight="1">
      <x:c r="A117" s="1232" t="s">
        <x:v>701</x:v>
      </x:c>
      <x:c r="B117" s="900">
        <x:v>212</x:v>
      </x:c>
      <x:c r="C117" s="900">
        <x:v>210</x:v>
      </x:c>
      <x:c r="D117" s="900">
        <x:v>223</x:v>
      </x:c>
      <x:c r="E117" s="900">
        <x:v>240</x:v>
      </x:c>
      <x:c r="F117" s="918"/>
      <x:c r="G117" s="918"/>
      <x:c r="H117" s="918"/>
      <x:c r="I117" s="918"/>
    </x:row>
    <x:row r="118" ht="33.75" customHeight="1">
      <x:c r="A118" s="1232" t="s">
        <x:v>702</x:v>
      </x:c>
      <x:c r="B118" s="900">
        <x:v>143</x:v>
      </x:c>
      <x:c r="C118" s="900">
        <x:v>190</x:v>
      </x:c>
      <x:c r="D118" s="900">
        <x:v>163</x:v>
      </x:c>
      <x:c r="E118" s="900">
        <x:v>185</x:v>
      </x:c>
      <x:c r="F118" s="918"/>
      <x:c r="G118" s="918"/>
      <x:c r="H118" s="918"/>
      <x:c r="I118" s="918"/>
    </x:row>
    <x:row r="119" ht="16.5" customHeight="1">
      <x:c r="A119" s="1232" t="s">
        <x:v>703</x:v>
      </x:c>
      <x:c r="B119" s="900">
        <x:v>88</x:v>
      </x:c>
      <x:c r="C119" s="900">
        <x:v>86</x:v>
      </x:c>
      <x:c r="D119" s="900">
        <x:v>108</x:v>
      </x:c>
      <x:c r="E119" s="900">
        <x:v>136</x:v>
      </x:c>
      <x:c r="F119" s="918"/>
      <x:c r="G119" s="918"/>
      <x:c r="H119" s="918"/>
      <x:c r="I119" s="918"/>
    </x:row>
    <x:row r="120" ht="16.5" customHeight="1">
      <x:c r="A120" s="1232" t="s">
        <x:v>704</x:v>
      </x:c>
      <x:c r="B120" s="900">
        <x:v>137</x:v>
      </x:c>
      <x:c r="C120" s="900">
        <x:v>103</x:v>
      </x:c>
      <x:c r="D120" s="900">
        <x:v>152</x:v>
      </x:c>
      <x:c r="E120" s="900">
        <x:v>123</x:v>
      </x:c>
      <x:c r="F120" s="918"/>
      <x:c r="G120" s="918"/>
      <x:c r="H120" s="918"/>
      <x:c r="I120" s="918"/>
    </x:row>
    <x:row r="121" ht="16.5" customHeight="1">
      <x:c r="A121" s="916" t="s">
        <x:v>698</x:v>
      </x:c>
      <x:c r="B121" s="900"/>
      <x:c r="C121" s="1210"/>
      <x:c r="D121" s="1210"/>
      <x:c r="E121" s="1210"/>
      <x:c r="F121" s="918"/>
      <x:c r="G121" s="918"/>
      <x:c r="H121" s="918"/>
      <x:c r="I121" s="918"/>
    </x:row>
    <x:row r="122" ht="16.5" customHeight="1">
      <x:c r="A122" s="1363"/>
      <x:c r="B122" s="1163"/>
      <x:c r="C122" s="1154"/>
      <x:c r="D122" s="1154"/>
      <x:c r="E122" s="1154"/>
      <x:c r="F122" s="861"/>
      <x:c r="G122" s="861"/>
      <x:c r="H122" s="861"/>
      <x:c r="I122" s="1155"/>
    </x:row>
    <x:row r="123" ht="71.25" customHeight="1">
      <x:c r="A123" s="1232" t="s">
        <x:v>705</x:v>
      </x:c>
      <x:c r="B123" s="1232" t="s">
        <x:v>706</x:v>
      </x:c>
      <x:c r="C123" s="932" t="s">
        <x:v>707</x:v>
      </x:c>
      <x:c r="D123" s="932" t="s">
        <x:v>708</x:v>
      </x:c>
      <x:c r="E123" s="918"/>
      <x:c r="F123" s="918"/>
      <x:c r="G123" s="918"/>
      <x:c r="H123" s="918"/>
      <x:c r="I123" s="918"/>
    </x:row>
    <x:row r="124" ht="84" customHeight="1">
      <x:c r="A124" s="1232" t="s">
        <x:v>709</x:v>
      </x:c>
      <x:c r="B124" s="1232" t="s">
        <x:v>309</x:v>
      </x:c>
      <x:c r="C124" s="900">
        <x:v>511</x:v>
      </x:c>
      <x:c r="D124" s="1398">
        <x:v>0.15732758620689699</x:v>
      </x:c>
      <x:c r="E124" s="918"/>
      <x:c r="F124" s="918"/>
      <x:c r="G124" s="918"/>
      <x:c r="H124" s="918"/>
      <x:c r="I124" s="918"/>
    </x:row>
    <x:row r="125" ht="84" customHeight="1">
      <x:c r="A125" s="1232" t="s">
        <x:v>710</x:v>
      </x:c>
      <x:c r="B125" s="1232" t="s">
        <x:v>711</x:v>
      </x:c>
      <x:c r="C125" s="900">
        <x:v>289</x:v>
      </x:c>
      <x:c r="D125" s="1398">
        <x:v>8.8977832512315294E-2</x:v>
      </x:c>
      <x:c r="E125" s="918"/>
      <x:c r="F125" s="918"/>
      <x:c r="G125" s="918"/>
      <x:c r="H125" s="918"/>
      <x:c r="I125" s="918"/>
    </x:row>
    <x:row r="126" ht="84" customHeight="1">
      <x:c r="A126" s="1232" t="s">
        <x:v>701</x:v>
      </x:c>
      <x:c r="B126" s="1232" t="s">
        <x:v>711</x:v>
      </x:c>
      <x:c r="C126" s="900">
        <x:v>287</x:v>
      </x:c>
      <x:c r="D126" s="1398">
        <x:v>8.8362068965517196E-2</x:v>
      </x:c>
      <x:c r="E126" s="918"/>
      <x:c r="F126" s="918"/>
      <x:c r="G126" s="918"/>
      <x:c r="H126" s="918"/>
      <x:c r="I126" s="918"/>
    </x:row>
    <x:row r="127" ht="101.25" customHeight="1">
      <x:c r="A127" s="1232" t="s">
        <x:v>712</x:v>
      </x:c>
      <x:c r="B127" s="1232" t="s">
        <x:v>713</x:v>
      </x:c>
      <x:c r="C127" s="900">
        <x:v>271</x:v>
      </x:c>
      <x:c r="D127" s="1398">
        <x:v>8.3435960591132993E-2</x:v>
      </x:c>
      <x:c r="E127" s="918"/>
      <x:c r="F127" s="918"/>
      <x:c r="G127" s="918"/>
      <x:c r="H127" s="918"/>
      <x:c r="I127" s="918"/>
    </x:row>
    <x:row r="128" ht="67.5" customHeight="1">
      <x:c r="A128" s="1232" t="s">
        <x:v>714</x:v>
      </x:c>
      <x:c r="B128" s="1232" t="s">
        <x:v>715</x:v>
      </x:c>
      <x:c r="C128" s="900">
        <x:v>164</x:v>
      </x:c>
      <x:c r="D128" s="1398">
        <x:v>5.0492610837438397E-2</x:v>
      </x:c>
      <x:c r="E128" s="918"/>
      <x:c r="F128" s="918"/>
      <x:c r="G128" s="918"/>
      <x:c r="H128" s="918"/>
      <x:c r="I128" s="918"/>
    </x:row>
    <x:row r="129" ht="84" customHeight="1">
      <x:c r="A129" s="1232" t="s">
        <x:v>234</x:v>
      </x:c>
      <x:c r="B129" s="1232" t="s">
        <x:v>309</x:v>
      </x:c>
      <x:c r="C129" s="900">
        <x:v>127</x:v>
      </x:c>
      <x:c r="D129" s="1398">
        <x:v>3.9100985221674898E-2</x:v>
      </x:c>
      <x:c r="E129" s="918"/>
      <x:c r="F129" s="918"/>
      <x:c r="G129" s="918"/>
      <x:c r="H129" s="918"/>
      <x:c r="I129" s="918"/>
    </x:row>
    <x:row r="130" ht="84" customHeight="1">
      <x:c r="A130" s="1232" t="s">
        <x:v>716</x:v>
      </x:c>
      <x:c r="B130" s="1232" t="s">
        <x:v>309</x:v>
      </x:c>
      <x:c r="C130" s="900">
        <x:v>120</x:v>
      </x:c>
      <x:c r="D130" s="1398">
        <x:v>3.6945812807881798E-2</x:v>
      </x:c>
      <x:c r="E130" s="918"/>
      <x:c r="F130" s="918"/>
      <x:c r="G130" s="918"/>
      <x:c r="H130" s="918"/>
      <x:c r="I130" s="918"/>
    </x:row>
    <x:row r="131" ht="50.25" customHeight="1">
      <x:c r="A131" s="1232" t="s">
        <x:v>717</x:v>
      </x:c>
      <x:c r="B131" s="1232" t="s">
        <x:v>718</x:v>
      </x:c>
      <x:c r="C131" s="900">
        <x:v>106</x:v>
      </x:c>
      <x:c r="D131" s="1398">
        <x:v>3.2635467980295603E-2</x:v>
      </x:c>
      <x:c r="E131" s="918"/>
      <x:c r="F131" s="918"/>
      <x:c r="G131" s="918"/>
      <x:c r="H131" s="918"/>
      <x:c r="I131" s="918"/>
    </x:row>
    <x:row r="132" ht="84" customHeight="1">
      <x:c r="A132" s="1232" t="s">
        <x:v>719</x:v>
      </x:c>
      <x:c r="B132" s="1232" t="s">
        <x:v>711</x:v>
      </x:c>
      <x:c r="C132" s="900">
        <x:v>104</x:v>
      </x:c>
      <x:c r="D132" s="1398">
        <x:v>3.2019704433497498E-2</x:v>
      </x:c>
      <x:c r="E132" s="918"/>
      <x:c r="F132" s="918"/>
      <x:c r="G132" s="918"/>
      <x:c r="H132" s="918"/>
      <x:c r="I132" s="918"/>
    </x:row>
    <x:row r="133" ht="84" customHeight="1">
      <x:c r="A133" s="1232" t="s">
        <x:v>720</x:v>
      </x:c>
      <x:c r="B133" s="1232" t="s">
        <x:v>711</x:v>
      </x:c>
      <x:c r="C133" s="900">
        <x:v>100</x:v>
      </x:c>
      <x:c r="D133" s="1398">
        <x:v>3.0788177339901499E-2</x:v>
      </x:c>
      <x:c r="E133" s="918"/>
      <x:c r="F133" s="918"/>
      <x:c r="G133" s="918"/>
      <x:c r="H133" s="918"/>
      <x:c r="I133" s="918"/>
    </x:row>
    <x:row r="134" ht="84" customHeight="1">
      <x:c r="A134" s="1232" t="s">
        <x:v>721</x:v>
      </x:c>
      <x:c r="B134" s="1232" t="s">
        <x:v>309</x:v>
      </x:c>
      <x:c r="C134" s="900">
        <x:v>91</x:v>
      </x:c>
      <x:c r="D134" s="1398">
        <x:v>2.80172413793103E-2</x:v>
      </x:c>
      <x:c r="E134" s="918"/>
      <x:c r="F134" s="918"/>
      <x:c r="G134" s="918"/>
      <x:c r="H134" s="918"/>
      <x:c r="I134" s="918"/>
    </x:row>
    <x:row r="135" ht="117.75" customHeight="1">
      <x:c r="A135" s="1232" t="s">
        <x:v>722</x:v>
      </x:c>
      <x:c r="B135" s="1232" t="s">
        <x:v>723</x:v>
      </x:c>
      <x:c r="C135" s="900">
        <x:v>91</x:v>
      </x:c>
      <x:c r="D135" s="1398">
        <x:v>2.80172413793103E-2</x:v>
      </x:c>
      <x:c r="E135" s="918"/>
      <x:c r="F135" s="918"/>
      <x:c r="G135" s="918"/>
      <x:c r="H135" s="918"/>
      <x:c r="I135" s="918"/>
    </x:row>
    <x:row r="136" ht="84" customHeight="1">
      <x:c r="A136" s="1232" t="s">
        <x:v>724</x:v>
      </x:c>
      <x:c r="B136" s="1232" t="s">
        <x:v>711</x:v>
      </x:c>
      <x:c r="C136" s="900">
        <x:v>87</x:v>
      </x:c>
      <x:c r="D136" s="1398">
        <x:v>2.6785714285714302E-2</x:v>
      </x:c>
      <x:c r="E136" s="918"/>
      <x:c r="F136" s="918"/>
      <x:c r="G136" s="918"/>
      <x:c r="H136" s="918"/>
      <x:c r="I136" s="918"/>
    </x:row>
    <x:row r="137" ht="84" customHeight="1">
      <x:c r="A137" s="1232" t="s">
        <x:v>725</x:v>
      </x:c>
      <x:c r="B137" s="1232" t="s">
        <x:v>726</x:v>
      </x:c>
      <x:c r="C137" s="900">
        <x:v>76</x:v>
      </x:c>
      <x:c r="D137" s="1398">
        <x:v>2.3399014778325102E-2</x:v>
      </x:c>
      <x:c r="E137" s="918"/>
      <x:c r="F137" s="918"/>
      <x:c r="G137" s="918"/>
      <x:c r="H137" s="918"/>
      <x:c r="I137" s="918"/>
    </x:row>
    <x:row r="138" ht="84" customHeight="1">
      <x:c r="A138" s="1232" t="s">
        <x:v>727</x:v>
      </x:c>
      <x:c r="B138" s="1232" t="s">
        <x:v>309</x:v>
      </x:c>
      <x:c r="C138" s="900">
        <x:v>63</x:v>
      </x:c>
      <x:c r="D138" s="1398">
        <x:v>1.93965517241379E-2</x:v>
      </x:c>
      <x:c r="E138" s="918"/>
      <x:c r="F138" s="918"/>
      <x:c r="G138" s="918"/>
      <x:c r="H138" s="918"/>
      <x:c r="I138" s="918"/>
    </x:row>
    <x:row r="139" ht="50.25" customHeight="1">
      <x:c r="A139" s="1232" t="s">
        <x:v>728</x:v>
      </x:c>
      <x:c r="B139" s="1232" t="s">
        <x:v>718</x:v>
      </x:c>
      <x:c r="C139" s="900">
        <x:v>63</x:v>
      </x:c>
      <x:c r="D139" s="1398">
        <x:v>1.93965517241379E-2</x:v>
      </x:c>
      <x:c r="E139" s="918"/>
      <x:c r="F139" s="918"/>
      <x:c r="G139" s="918"/>
      <x:c r="H139" s="918"/>
      <x:c r="I139" s="918"/>
    </x:row>
    <x:row r="140" ht="84" customHeight="1">
      <x:c r="A140" s="1232" t="s">
        <x:v>729</x:v>
      </x:c>
      <x:c r="B140" s="1232" t="s">
        <x:v>309</x:v>
      </x:c>
      <x:c r="C140" s="900">
        <x:v>61</x:v>
      </x:c>
      <x:c r="D140" s="1398">
        <x:v>1.8780788177339899E-2</x:v>
      </x:c>
      <x:c r="E140" s="918"/>
      <x:c r="F140" s="918"/>
      <x:c r="G140" s="918"/>
      <x:c r="H140" s="918"/>
      <x:c r="I140" s="918"/>
    </x:row>
    <x:row r="141" ht="84" customHeight="1">
      <x:c r="A141" s="1232" t="s">
        <x:v>730</x:v>
      </x:c>
      <x:c r="B141" s="1232" t="s">
        <x:v>309</x:v>
      </x:c>
      <x:c r="C141" s="900">
        <x:v>60</x:v>
      </x:c>
      <x:c r="D141" s="1398">
        <x:v>1.8472906403940899E-2</x:v>
      </x:c>
      <x:c r="E141" s="918"/>
      <x:c r="F141" s="918"/>
      <x:c r="G141" s="918"/>
      <x:c r="H141" s="918"/>
      <x:c r="I141" s="918"/>
    </x:row>
    <x:row r="142" ht="134.25" customHeight="1">
      <x:c r="A142" s="1232" t="s">
        <x:v>196</x:v>
      </x:c>
      <x:c r="B142" s="1232" t="s">
        <x:v>731</x:v>
      </x:c>
      <x:c r="C142" s="900">
        <x:v>51</x:v>
      </x:c>
      <x:c r="D142" s="1398">
        <x:v>1.57019704433498E-2</x:v>
      </x:c>
      <x:c r="E142" s="918"/>
      <x:c r="F142" s="918"/>
      <x:c r="G142" s="918"/>
      <x:c r="H142" s="918"/>
      <x:c r="I142" s="918"/>
    </x:row>
    <x:row r="143" ht="84" customHeight="1">
      <x:c r="A143" s="1232" t="s">
        <x:v>732</x:v>
      </x:c>
      <x:c r="B143" s="1232" t="s">
        <x:v>726</x:v>
      </x:c>
      <x:c r="C143" s="900">
        <x:v>40</x:v>
      </x:c>
      <x:c r="D143" s="1398">
        <x:v>1.23152709359606E-2</x:v>
      </x:c>
      <x:c r="E143" s="918"/>
      <x:c r="F143" s="918"/>
      <x:c r="G143" s="918"/>
      <x:c r="H143" s="918"/>
      <x:c r="I143" s="918"/>
    </x:row>
    <x:row r="144" ht="13.5" customHeight="1">
      <x:c r="A144" s="1169"/>
      <x:c r="B144" s="861"/>
      <x:c r="C144" s="861"/>
      <x:c r="D144" s="861"/>
      <x:c r="E144" s="861"/>
      <x:c r="F144" s="861"/>
      <x:c r="G144" s="861"/>
      <x:c r="H144" s="861"/>
      <x:c r="I144" s="1155"/>
    </x:row>
    <x:row r="145" ht="53.25" customHeight="1">
      <x:c r="A145" s="1232" t="s">
        <x:v>733</x:v>
      </x:c>
      <x:c r="B145" s="1232" t="s">
        <x:v>706</x:v>
      </x:c>
      <x:c r="C145" s="932" t="s">
        <x:v>707</x:v>
      </x:c>
      <x:c r="D145" s="932" t="s">
        <x:v>708</x:v>
      </x:c>
      <x:c r="E145" s="918"/>
      <x:c r="F145" s="918"/>
      <x:c r="G145" s="918"/>
      <x:c r="H145" s="918"/>
      <x:c r="I145" s="918"/>
    </x:row>
    <x:row r="146" ht="33.75" customHeight="1">
      <x:c r="A146" s="1232" t="s">
        <x:v>709</x:v>
      </x:c>
      <x:c r="B146" s="1232" t="s">
        <x:v>309</x:v>
      </x:c>
      <x:c r="C146" s="900">
        <x:v>401</x:v>
      </x:c>
      <x:c r="D146" s="1398">
        <x:v>0.13967258794845</x:v>
      </x:c>
      <x:c r="E146" s="918"/>
      <x:c r="F146" s="918"/>
      <x:c r="G146" s="918"/>
      <x:c r="H146" s="918"/>
      <x:c r="I146" s="918"/>
    </x:row>
    <x:row r="147" ht="33.75" customHeight="1">
      <x:c r="A147" s="1232" t="s">
        <x:v>714</x:v>
      </x:c>
      <x:c r="B147" s="1232" t="s">
        <x:v>715</x:v>
      </x:c>
      <x:c r="C147" s="900">
        <x:v>224</x:v>
      </x:c>
      <x:c r="D147" s="1398">
        <x:v>7.80215952629746E-2</x:v>
      </x:c>
      <x:c r="E147" s="918"/>
      <x:c r="F147" s="918"/>
      <x:c r="G147" s="918"/>
      <x:c r="H147" s="918"/>
      <x:c r="I147" s="918"/>
    </x:row>
    <x:row r="148" ht="33.75" customHeight="1">
      <x:c r="A148" s="1232" t="s">
        <x:v>716</x:v>
      </x:c>
      <x:c r="B148" s="1232" t="s">
        <x:v>309</x:v>
      </x:c>
      <x:c r="C148" s="900">
        <x:v>195</x:v>
      </x:c>
      <x:c r="D148" s="1398">
        <x:v>6.7920585161964503E-2</x:v>
      </x:c>
      <x:c r="E148" s="918"/>
      <x:c r="F148" s="918"/>
      <x:c r="G148" s="918"/>
      <x:c r="H148" s="918"/>
      <x:c r="I148" s="918"/>
    </x:row>
    <x:row r="149" ht="33.75" customHeight="1">
      <x:c r="A149" s="1232" t="s">
        <x:v>234</x:v>
      </x:c>
      <x:c r="B149" s="1232" t="s">
        <x:v>309</x:v>
      </x:c>
      <x:c r="C149" s="900">
        <x:v>157</x:v>
      </x:c>
      <x:c r="D149" s="1398">
        <x:v>5.4684778822709897E-2</x:v>
      </x:c>
      <x:c r="E149" s="918"/>
      <x:c r="F149" s="918"/>
      <x:c r="G149" s="918"/>
      <x:c r="H149" s="918"/>
      <x:c r="I149" s="918"/>
    </x:row>
    <x:row r="150" ht="33.75" customHeight="1">
      <x:c r="A150" s="1232" t="s">
        <x:v>721</x:v>
      </x:c>
      <x:c r="B150" s="1232" t="s">
        <x:v>309</x:v>
      </x:c>
      <x:c r="C150" s="900">
        <x:v>132</x:v>
      </x:c>
      <x:c r="D150" s="1398">
        <x:v>4.5977011494252901E-2</x:v>
      </x:c>
      <x:c r="E150" s="918"/>
      <x:c r="F150" s="918"/>
      <x:c r="G150" s="918"/>
      <x:c r="H150" s="918"/>
      <x:c r="I150" s="918"/>
    </x:row>
    <x:row r="151" ht="50.25" customHeight="1">
      <x:c r="A151" s="1232" t="s">
        <x:v>722</x:v>
      </x:c>
      <x:c r="B151" s="1232" t="s">
        <x:v>723</x:v>
      </x:c>
      <x:c r="C151" s="900">
        <x:v>123</x:v>
      </x:c>
      <x:c r="D151" s="1398">
        <x:v>4.2842215256008398E-2</x:v>
      </x:c>
      <x:c r="E151" s="918"/>
      <x:c r="F151" s="918"/>
      <x:c r="G151" s="918"/>
      <x:c r="H151" s="918"/>
      <x:c r="I151" s="918"/>
    </x:row>
    <x:row r="152" ht="33.75" customHeight="1">
      <x:c r="A152" s="1232" t="s">
        <x:v>729</x:v>
      </x:c>
      <x:c r="B152" s="1232" t="s">
        <x:v>309</x:v>
      </x:c>
      <x:c r="C152" s="900">
        <x:v>110</x:v>
      </x:c>
      <x:c r="D152" s="1398">
        <x:v>3.8314176245210697E-2</x:v>
      </x:c>
      <x:c r="E152" s="918"/>
      <x:c r="F152" s="918"/>
      <x:c r="G152" s="918"/>
      <x:c r="H152" s="918"/>
      <x:c r="I152" s="918"/>
    </x:row>
    <x:row r="153" ht="33.75" customHeight="1">
      <x:c r="A153" s="1232" t="s">
        <x:v>727</x:v>
      </x:c>
      <x:c r="B153" s="1232" t="s">
        <x:v>309</x:v>
      </x:c>
      <x:c r="C153" s="900">
        <x:v>106</x:v>
      </x:c>
      <x:c r="D153" s="1398">
        <x:v>3.6920933472657597E-2</x:v>
      </x:c>
      <x:c r="E153" s="918"/>
      <x:c r="F153" s="918"/>
      <x:c r="G153" s="918"/>
      <x:c r="H153" s="918"/>
      <x:c r="I153" s="918"/>
    </x:row>
    <x:row r="154" ht="33.75" customHeight="1">
      <x:c r="A154" s="1232" t="s">
        <x:v>710</x:v>
      </x:c>
      <x:c r="B154" s="1232" t="s">
        <x:v>711</x:v>
      </x:c>
      <x:c r="C154" s="900">
        <x:v>100</x:v>
      </x:c>
      <x:c r="D154" s="1398">
        <x:v>3.48310693138279E-2</x:v>
      </x:c>
      <x:c r="E154" s="918"/>
      <x:c r="F154" s="918"/>
      <x:c r="G154" s="918"/>
      <x:c r="H154" s="918"/>
      <x:c r="I154" s="918"/>
    </x:row>
    <x:row r="155" ht="33.75" customHeight="1">
      <x:c r="A155" s="1232" t="s">
        <x:v>701</x:v>
      </x:c>
      <x:c r="B155" s="1232" t="s">
        <x:v>711</x:v>
      </x:c>
      <x:c r="C155" s="900">
        <x:v>99</x:v>
      </x:c>
      <x:c r="D155" s="1398">
        <x:v>3.4482758620689703E-2</x:v>
      </x:c>
      <x:c r="E155" s="918"/>
      <x:c r="F155" s="918"/>
      <x:c r="G155" s="918"/>
      <x:c r="H155" s="918"/>
      <x:c r="I155" s="918"/>
    </x:row>
    <x:row r="156" ht="33.75" customHeight="1">
      <x:c r="A156" s="1232" t="s">
        <x:v>730</x:v>
      </x:c>
      <x:c r="B156" s="1232" t="s">
        <x:v>309</x:v>
      </x:c>
      <x:c r="C156" s="900">
        <x:v>93</x:v>
      </x:c>
      <x:c r="D156" s="1398">
        <x:v>3.239289446186E-2</x:v>
      </x:c>
      <x:c r="E156" s="918"/>
      <x:c r="F156" s="918"/>
      <x:c r="G156" s="918"/>
      <x:c r="H156" s="918"/>
      <x:c r="I156" s="918"/>
    </x:row>
    <x:row r="157" ht="33.75" customHeight="1">
      <x:c r="A157" s="1232" t="s">
        <x:v>732</x:v>
      </x:c>
      <x:c r="B157" s="1232" t="s">
        <x:v>726</x:v>
      </x:c>
      <x:c r="C157" s="900">
        <x:v>84</x:v>
      </x:c>
      <x:c r="D157" s="1398">
        <x:v>2.9258098223615501E-2</x:v>
      </x:c>
      <x:c r="E157" s="918"/>
      <x:c r="F157" s="918"/>
      <x:c r="G157" s="918"/>
      <x:c r="H157" s="918"/>
      <x:c r="I157" s="918"/>
    </x:row>
    <x:row r="158" ht="50.25" customHeight="1">
      <x:c r="A158" s="1232" t="s">
        <x:v>712</x:v>
      </x:c>
      <x:c r="B158" s="1232" t="s">
        <x:v>713</x:v>
      </x:c>
      <x:c r="C158" s="900">
        <x:v>80</x:v>
      </x:c>
      <x:c r="D158" s="1398">
        <x:v>2.7864855451062299E-2</x:v>
      </x:c>
      <x:c r="E158" s="918"/>
      <x:c r="F158" s="918"/>
      <x:c r="G158" s="918"/>
      <x:c r="H158" s="918"/>
      <x:c r="I158" s="918"/>
    </x:row>
    <x:row r="159" ht="33.75" customHeight="1">
      <x:c r="A159" s="1232" t="s">
        <x:v>734</x:v>
      </x:c>
      <x:c r="B159" s="1232" t="s">
        <x:v>309</x:v>
      </x:c>
      <x:c r="C159" s="900">
        <x:v>66</x:v>
      </x:c>
      <x:c r="D159" s="1398">
        <x:v>2.2988505747126398E-2</x:v>
      </x:c>
      <x:c r="E159" s="918"/>
      <x:c r="F159" s="918"/>
      <x:c r="G159" s="918"/>
      <x:c r="H159" s="918"/>
      <x:c r="I159" s="918"/>
    </x:row>
    <x:row r="160" ht="33.75" customHeight="1">
      <x:c r="A160" s="1232" t="s">
        <x:v>717</x:v>
      </x:c>
      <x:c r="B160" s="1232" t="s">
        <x:v>718</x:v>
      </x:c>
      <x:c r="C160" s="900">
        <x:v>62</x:v>
      </x:c>
      <x:c r="D160" s="1398">
        <x:v>2.1595262974573301E-2</x:v>
      </x:c>
      <x:c r="E160" s="918"/>
      <x:c r="F160" s="918"/>
      <x:c r="G160" s="918"/>
      <x:c r="H160" s="918"/>
      <x:c r="I160" s="918"/>
    </x:row>
    <x:row r="161" ht="33.75" customHeight="1">
      <x:c r="A161" s="1232" t="s">
        <x:v>735</x:v>
      </x:c>
      <x:c r="B161" s="1232" t="s">
        <x:v>309</x:v>
      </x:c>
      <x:c r="C161" s="900">
        <x:v>58</x:v>
      </x:c>
      <x:c r="D161" s="1398">
        <x:v>2.02020202020202E-2</x:v>
      </x:c>
      <x:c r="E161" s="918"/>
      <x:c r="F161" s="918"/>
      <x:c r="G161" s="918"/>
      <x:c r="H161" s="918"/>
      <x:c r="I161" s="918"/>
    </x:row>
    <x:row r="162" ht="33.75" customHeight="1">
      <x:c r="A162" s="1232" t="s">
        <x:v>720</x:v>
      </x:c>
      <x:c r="B162" s="1232" t="s">
        <x:v>711</x:v>
      </x:c>
      <x:c r="C162" s="900">
        <x:v>56</x:v>
      </x:c>
      <x:c r="D162" s="1398">
        <x:v>1.9505398815743601E-2</x:v>
      </x:c>
      <x:c r="E162" s="918"/>
      <x:c r="F162" s="918"/>
      <x:c r="G162" s="918"/>
      <x:c r="H162" s="918"/>
      <x:c r="I162" s="918"/>
    </x:row>
    <x:row r="163" ht="50.25" customHeight="1">
      <x:c r="A163" s="1232" t="s">
        <x:v>196</x:v>
      </x:c>
      <x:c r="B163" s="1232" t="s">
        <x:v>731</x:v>
      </x:c>
      <x:c r="C163" s="900">
        <x:v>51</x:v>
      </x:c>
      <x:c r="D163" s="1398">
        <x:v>1.7763845350052199E-2</x:v>
      </x:c>
      <x:c r="E163" s="918"/>
      <x:c r="F163" s="918"/>
      <x:c r="G163" s="918"/>
      <x:c r="H163" s="918"/>
      <x:c r="I163" s="918"/>
    </x:row>
    <x:row r="164" ht="16.5" customHeight="1">
      <x:c r="A164" s="1232" t="s">
        <x:v>736</x:v>
      </x:c>
      <x:c r="B164" s="1232" t="s">
        <x:v>737</x:v>
      </x:c>
      <x:c r="C164" s="900">
        <x:v>50</x:v>
      </x:c>
      <x:c r="D164" s="1398">
        <x:v>1.7415534656913999E-2</x:v>
      </x:c>
      <x:c r="E164" s="918"/>
      <x:c r="F164" s="918"/>
      <x:c r="G164" s="918"/>
      <x:c r="H164" s="918"/>
      <x:c r="I164" s="918"/>
    </x:row>
    <x:row r="165" ht="33.75" customHeight="1">
      <x:c r="A165" s="1232" t="s">
        <x:v>725</x:v>
      </x:c>
      <x:c r="B165" s="1232" t="s">
        <x:v>726</x:v>
      </x:c>
      <x:c r="C165" s="900">
        <x:v>50</x:v>
      </x:c>
      <x:c r="D165" s="1398">
        <x:v>1.7415534656913999E-2</x:v>
      </x:c>
      <x:c r="E165" s="918"/>
      <x:c r="F165" s="918"/>
      <x:c r="G165" s="918"/>
      <x:c r="H165" s="918"/>
      <x:c r="I165" s="918"/>
    </x:row>
    <x:row r="166" ht="60.75" customHeight="1">
      <x:c r="A166" s="1368" t="s">
        <x:v>738</x:v>
      </x:c>
      <x:c r="B166" s="1369"/>
      <x:c r="C166" s="1369"/>
      <x:c r="D166" s="1369"/>
      <x:c r="E166" s="1369"/>
      <x:c r="F166" s="1369"/>
      <x:c r="G166" s="1369"/>
      <x:c r="H166" s="1369"/>
      <x:c r="I166" s="1370"/>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20.7109375" defaultRowHeight="39"/>
  <x:cols>
    <x:col min="22" max="22" width="65" hidden="0" customWidth="1"/>
    <x:col min="1" max="1" width="13" hidden="0" customWidth="1"/>
    <x:col min="2" max="2" width="13" hidden="0" customWidth="1"/>
    <x:col min="3" max="3" width="14" hidden="0" customWidth="1"/>
    <x:col min="4" max="4" width="10" hidden="0" customWidth="1"/>
    <x:col min="5" max="5" width="20" hidden="0" customWidth="1"/>
    <x:col min="6" max="6" width="16" hidden="0" customWidth="1"/>
    <x:col min="7" max="7" width="28" hidden="0" customWidth="1"/>
    <x:col min="8" max="8" width="24" hidden="0" customWidth="1"/>
    <x:col min="9" max="9" width="30" hidden="0" customWidth="1"/>
    <x:col min="10" max="10" width="26" hidden="0" customWidth="1"/>
    <x:col min="11" max="11" width="58" hidden="0" customWidth="1"/>
    <x:col min="12" max="12" width="30" hidden="0" customWidth="1"/>
    <x:col min="13" max="13" width="38" hidden="0" customWidth="1"/>
    <x:col min="14" max="14" width="13" hidden="0" customWidth="1"/>
    <x:col min="15" max="15" width="13" hidden="0" customWidth="1"/>
    <x:col min="16" max="16" width="13" hidden="0" customWidth="1"/>
    <x:col min="17" max="17" width="24" hidden="0" customWidth="1"/>
    <x:col min="18" max="18" width="48" hidden="0" customWidth="1"/>
    <x:col min="19" max="19" width="34" hidden="0" customWidth="1"/>
    <x:col min="20" max="20" width="22" hidden="0" customWidth="1"/>
    <x:col min="21" max="21" width="30" hidden="0" customWidth="1"/>
  </x:cols>
  <x:sheetData>
    <x:row r="1" ht="39" customHeight="1">
      <x:c r="A1" s="1585" t="s">
        <x:v>739</x:v>
      </x:c>
      <x:c r="B1" s="1586"/>
      <x:c r="C1" s="1573"/>
      <x:c r="D1" s="1573"/>
      <x:c r="E1" s="1573"/>
      <x:c r="F1" s="1573"/>
      <x:c r="G1" s="1573"/>
      <x:c r="H1" s="1573"/>
      <x:c r="I1" s="1573"/>
      <x:c r="J1" s="1573"/>
      <x:c r="K1" s="1573"/>
      <x:c r="L1" s="1573"/>
      <x:c r="M1" s="1573"/>
      <x:c r="N1" s="1587"/>
      <x:c r="O1" s="1589"/>
      <x:c r="P1" s="1588"/>
      <x:c r="Q1" s="1573"/>
      <x:c r="R1" s="1573"/>
      <x:c r="S1" s="1573"/>
      <x:c r="T1" s="1573"/>
      <x:c r="U1" s="1573"/>
      <x:c r="V1" s="1573"/>
      <x:c r="W1" s="1574"/>
      <x:c r="X1" s="1575"/>
    </x:row>
    <x:row r="2" ht="39" customHeight="1">
      <x:c r="A2" s="1576" t="s">
        <x:v>740</x:v>
      </x:c>
      <x:c r="B2" s="1577"/>
      <x:c r="C2" s="1577"/>
      <x:c r="D2" s="1577"/>
      <x:c r="E2" s="1577"/>
      <x:c r="F2" s="1577"/>
      <x:c r="G2" s="1577"/>
      <x:c r="H2" s="1577"/>
      <x:c r="I2" s="1577"/>
      <x:c r="J2" s="1577"/>
      <x:c r="K2" s="1577"/>
      <x:c r="L2" s="1577"/>
      <x:c r="M2" s="1577"/>
      <x:c r="N2" s="1577"/>
      <x:c r="O2" s="1577"/>
      <x:c r="P2" s="1577"/>
      <x:c r="Q2" s="1577"/>
      <x:c r="R2" s="1577"/>
      <x:c r="S2" s="1577"/>
      <x:c r="T2" s="1577"/>
      <x:c r="U2" s="1577"/>
      <x:c r="V2" s="1577"/>
      <x:c r="W2" s="861"/>
      <x:c r="X2" s="1155"/>
    </x:row>
    <x:row r="3" s="244" customFormat="1" ht="34" customHeight="1">
      <x:c r="A3" s="1584" t="s">
        <x:v>521</x:v>
      </x:c>
      <x:c r="B3" s="2332" t="s">
        <x:v>522</x:v>
      </x:c>
      <x:c r="C3" s="2332" t="s">
        <x:v>523</x:v>
      </x:c>
      <x:c r="D3" s="2332" t="s">
        <x:v>741</x:v>
      </x:c>
      <x:c r="E3" s="2332" t="s">
        <x:v>524</x:v>
      </x:c>
      <x:c r="F3" s="2332" t="s">
        <x:v>525</x:v>
      </x:c>
      <x:c r="G3" s="2332" t="s">
        <x:v>742</x:v>
      </x:c>
      <x:c r="H3" s="2332" t="s">
        <x:v>743</x:v>
      </x:c>
      <x:c r="I3" s="2332" t="s">
        <x:v>744</x:v>
      </x:c>
      <x:c r="J3" s="2332" t="s">
        <x:v>745</x:v>
      </x:c>
      <x:c r="K3" s="2332" t="s">
        <x:v>746</x:v>
      </x:c>
      <x:c r="L3" s="2332" t="s">
        <x:v>747</x:v>
      </x:c>
      <x:c r="M3" s="2332" t="s">
        <x:v>748</x:v>
      </x:c>
      <x:c r="N3" s="2332" t="s">
        <x:v>749</x:v>
      </x:c>
      <x:c r="O3" s="2332" t="s">
        <x:v>750</x:v>
      </x:c>
      <x:c r="P3" s="2332" t="s">
        <x:v>751</x:v>
      </x:c>
      <x:c r="Q3" s="2332" t="s">
        <x:v>752</x:v>
      </x:c>
      <x:c r="R3" s="2332" t="s">
        <x:v>753</x:v>
      </x:c>
      <x:c r="S3" s="2332" t="s">
        <x:v>530</x:v>
      </x:c>
      <x:c r="T3" s="2332" t="s">
        <x:v>531</x:v>
      </x:c>
      <x:c r="U3" s="2332" t="s">
        <x:v>532</x:v>
      </x:c>
      <x:c r="V3" s="2332" t="s">
        <x:v>533</x:v>
      </x:c>
      <x:c r="W3" s="861"/>
      <x:c r="X3" s="1155"/>
    </x:row>
    <x:row r="4" ht="39" customHeight="1">
      <x:c r="A4" s="2801">
        <x:v>45474</x:v>
      </x:c>
      <x:c r="B4" s="2797">
        <x:v>45565</x:v>
      </x:c>
      <x:c r="C4" s="2590" t="s">
        <x:v>131</x:v>
      </x:c>
      <x:c r="D4" s="2590" t="s">
        <x:v>754</x:v>
      </x:c>
      <x:c r="E4" s="2590" t="s">
        <x:v>755</x:v>
      </x:c>
      <x:c r="F4" s="2590" t="s">
        <x:v>535</x:v>
      </x:c>
      <x:c r="G4" s="2590" t="s">
        <x:v>62</x:v>
      </x:c>
      <x:c r="H4" s="2590" t="s">
        <x:v>756</x:v>
      </x:c>
      <x:c r="I4" s="2590" t="s">
        <x:v>757</x:v>
      </x:c>
      <x:c r="J4" s="2590" t="s">
        <x:v>758</x:v>
      </x:c>
      <x:c r="K4" s="2581" t="s">
        <x:v>759</x:v>
      </x:c>
      <x:c r="L4" s="2818"/>
      <x:c r="M4" s="2818"/>
      <x:c r="N4" s="2383">
        <x:v>1514</x:v>
      </x:c>
      <x:c r="O4" s="2394"/>
      <x:c r="P4" s="2530"/>
      <x:c r="Q4" s="2590" t="s">
        <x:v>320</x:v>
      </x:c>
      <x:c r="R4" s="2581" t="s">
        <x:v>757</x:v>
      </x:c>
      <x:c r="S4" s="2590" t="s">
        <x:v>760</x:v>
      </x:c>
      <x:c r="T4" s="2590" t="s">
        <x:v>761</x:v>
      </x:c>
      <x:c r="U4" s="2590" t="s">
        <x:v>762</x:v>
      </x:c>
      <x:c r="V4" s="2581" t="s">
        <x:v>763</x:v>
      </x:c>
      <x:c r="W4" s="861"/>
      <x:c r="X4" s="1155"/>
    </x:row>
    <x:row r="5" ht="39" customHeight="1">
      <x:c r="A5" s="2801">
        <x:v>45474</x:v>
      </x:c>
      <x:c r="B5" s="2797">
        <x:v>45565</x:v>
      </x:c>
      <x:c r="C5" s="2590" t="s">
        <x:v>131</x:v>
      </x:c>
      <x:c r="D5" s="2590" t="s">
        <x:v>754</x:v>
      </x:c>
      <x:c r="E5" s="2590" t="s">
        <x:v>755</x:v>
      </x:c>
      <x:c r="F5" s="2590" t="s">
        <x:v>535</x:v>
      </x:c>
      <x:c r="G5" s="2590" t="s">
        <x:v>62</x:v>
      </x:c>
      <x:c r="H5" s="2590" t="s">
        <x:v>764</x:v>
      </x:c>
      <x:c r="I5" s="2590" t="s">
        <x:v>765</x:v>
      </x:c>
      <x:c r="J5" s="2590" t="s">
        <x:v>758</x:v>
      </x:c>
      <x:c r="K5" s="2581" t="s">
        <x:v>759</x:v>
      </x:c>
      <x:c r="L5" s="2818"/>
      <x:c r="M5" s="2818"/>
      <x:c r="N5" s="2383"/>
      <x:c r="O5" s="2394">
        <x:v>0.8</x:v>
      </x:c>
      <x:c r="P5" s="2530"/>
      <x:c r="Q5" s="2590" t="s">
        <x:v>766</x:v>
      </x:c>
      <x:c r="R5" s="2581" t="s">
        <x:v>767</x:v>
      </x:c>
      <x:c r="S5" s="2590" t="s">
        <x:v>760</x:v>
      </x:c>
      <x:c r="T5" s="2590" t="s">
        <x:v>761</x:v>
      </x:c>
      <x:c r="U5" s="2590" t="s">
        <x:v>762</x:v>
      </x:c>
      <x:c r="V5" s="2581" t="s">
        <x:v>763</x:v>
      </x:c>
      <x:c r="W5" s="861"/>
      <x:c r="X5" s="1155"/>
    </x:row>
    <x:row r="6" ht="39" customHeight="1">
      <x:c r="A6" s="2801">
        <x:v>45474</x:v>
      </x:c>
      <x:c r="B6" s="2797">
        <x:v>45565</x:v>
      </x:c>
      <x:c r="C6" s="2590" t="s">
        <x:v>131</x:v>
      </x:c>
      <x:c r="D6" s="2590" t="s">
        <x:v>754</x:v>
      </x:c>
      <x:c r="E6" s="2590" t="s">
        <x:v>755</x:v>
      </x:c>
      <x:c r="F6" s="2590" t="s">
        <x:v>535</x:v>
      </x:c>
      <x:c r="G6" s="2590" t="s">
        <x:v>768</x:v>
      </x:c>
      <x:c r="H6" s="2590" t="s">
        <x:v>756</x:v>
      </x:c>
      <x:c r="I6" s="2590" t="s">
        <x:v>757</x:v>
      </x:c>
      <x:c r="J6" s="2590" t="s">
        <x:v>769</x:v>
      </x:c>
      <x:c r="K6" s="2581" t="s">
        <x:v>70</x:v>
      </x:c>
      <x:c r="L6" s="2818"/>
      <x:c r="M6" s="2818"/>
      <x:c r="N6" s="2383">
        <x:v>908</x:v>
      </x:c>
      <x:c r="O6" s="2394"/>
      <x:c r="P6" s="2530"/>
      <x:c r="Q6" s="2590" t="s">
        <x:v>320</x:v>
      </x:c>
      <x:c r="R6" s="2581" t="s">
        <x:v>770</x:v>
      </x:c>
      <x:c r="S6" s="2590" t="s">
        <x:v>760</x:v>
      </x:c>
      <x:c r="T6" s="2590" t="s">
        <x:v>761</x:v>
      </x:c>
      <x:c r="U6" s="2590" t="s">
        <x:v>762</x:v>
      </x:c>
      <x:c r="V6" s="2581" t="s">
        <x:v>763</x:v>
      </x:c>
      <x:c r="W6" s="861"/>
      <x:c r="X6" s="1155"/>
    </x:row>
    <x:row r="7" ht="39" customHeight="1">
      <x:c r="A7" s="2801">
        <x:v>45474</x:v>
      </x:c>
      <x:c r="B7" s="2797">
        <x:v>45565</x:v>
      </x:c>
      <x:c r="C7" s="2590" t="s">
        <x:v>131</x:v>
      </x:c>
      <x:c r="D7" s="2590" t="s">
        <x:v>754</x:v>
      </x:c>
      <x:c r="E7" s="2590" t="s">
        <x:v>755</x:v>
      </x:c>
      <x:c r="F7" s="2590" t="s">
        <x:v>535</x:v>
      </x:c>
      <x:c r="G7" s="2590" t="s">
        <x:v>768</x:v>
      </x:c>
      <x:c r="H7" s="2590" t="s">
        <x:v>764</x:v>
      </x:c>
      <x:c r="I7" s="2590" t="s">
        <x:v>765</x:v>
      </x:c>
      <x:c r="J7" s="2590" t="s">
        <x:v>769</x:v>
      </x:c>
      <x:c r="K7" s="2581" t="s">
        <x:v>70</x:v>
      </x:c>
      <x:c r="L7" s="2818"/>
      <x:c r="M7" s="2818"/>
      <x:c r="N7" s="2383"/>
      <x:c r="O7" s="2394">
        <x:v>32.700000000000003</x:v>
      </x:c>
      <x:c r="P7" s="2530"/>
      <x:c r="Q7" s="2590" t="s">
        <x:v>771</x:v>
      </x:c>
      <x:c r="R7" s="2581" t="s">
        <x:v>772</x:v>
      </x:c>
      <x:c r="S7" s="2590" t="s">
        <x:v>760</x:v>
      </x:c>
      <x:c r="T7" s="2590" t="s">
        <x:v>761</x:v>
      </x:c>
      <x:c r="U7" s="2590" t="s">
        <x:v>762</x:v>
      </x:c>
      <x:c r="V7" s="2581" t="s">
        <x:v>763</x:v>
      </x:c>
      <x:c r="W7" s="861"/>
      <x:c r="X7" s="1155"/>
    </x:row>
    <x:row r="8" ht="39" customHeight="1">
      <x:c r="A8" s="2801">
        <x:v>45474</x:v>
      </x:c>
      <x:c r="B8" s="2797">
        <x:v>45565</x:v>
      </x:c>
      <x:c r="C8" s="2590" t="s">
        <x:v>131</x:v>
      </x:c>
      <x:c r="D8" s="2590" t="s">
        <x:v>754</x:v>
      </x:c>
      <x:c r="E8" s="2590" t="s">
        <x:v>755</x:v>
      </x:c>
      <x:c r="F8" s="2590" t="s">
        <x:v>535</x:v>
      </x:c>
      <x:c r="G8" s="2590" t="s">
        <x:v>773</x:v>
      </x:c>
      <x:c r="H8" s="2590" t="s">
        <x:v>756</x:v>
      </x:c>
      <x:c r="I8" s="2590" t="s">
        <x:v>757</x:v>
      </x:c>
      <x:c r="J8" s="2590" t="s">
        <x:v>769</x:v>
      </x:c>
      <x:c r="K8" s="2581" t="s">
        <x:v>77</x:v>
      </x:c>
      <x:c r="L8" s="2818"/>
      <x:c r="M8" s="2818"/>
      <x:c r="N8" s="2383">
        <x:v>125</x:v>
      </x:c>
      <x:c r="O8" s="2394"/>
      <x:c r="P8" s="2530"/>
      <x:c r="Q8" s="2590" t="s">
        <x:v>320</x:v>
      </x:c>
      <x:c r="R8" s="2581" t="s">
        <x:v>774</x:v>
      </x:c>
      <x:c r="S8" s="2590" t="s">
        <x:v>760</x:v>
      </x:c>
      <x:c r="T8" s="2590" t="s">
        <x:v>761</x:v>
      </x:c>
      <x:c r="U8" s="2590" t="s">
        <x:v>762</x:v>
      </x:c>
      <x:c r="V8" s="2581" t="s">
        <x:v>763</x:v>
      </x:c>
      <x:c r="W8" s="861"/>
      <x:c r="X8" s="1155"/>
    </x:row>
    <x:row r="9" ht="39" customHeight="1">
      <x:c r="A9" s="2801">
        <x:v>45474</x:v>
      </x:c>
      <x:c r="B9" s="2797">
        <x:v>45565</x:v>
      </x:c>
      <x:c r="C9" s="2590" t="s">
        <x:v>131</x:v>
      </x:c>
      <x:c r="D9" s="2590" t="s">
        <x:v>754</x:v>
      </x:c>
      <x:c r="E9" s="2590" t="s">
        <x:v>755</x:v>
      </x:c>
      <x:c r="F9" s="2590" t="s">
        <x:v>535</x:v>
      </x:c>
      <x:c r="G9" s="2590" t="s">
        <x:v>773</x:v>
      </x:c>
      <x:c r="H9" s="2590" t="s">
        <x:v>764</x:v>
      </x:c>
      <x:c r="I9" s="2590" t="s">
        <x:v>765</x:v>
      </x:c>
      <x:c r="J9" s="2590" t="s">
        <x:v>769</x:v>
      </x:c>
      <x:c r="K9" s="2581" t="s">
        <x:v>77</x:v>
      </x:c>
      <x:c r="L9" s="2818"/>
      <x:c r="M9" s="2818"/>
      <x:c r="N9" s="2383"/>
      <x:c r="O9" s="2394">
        <x:v>1.5</x:v>
      </x:c>
      <x:c r="P9" s="2530"/>
      <x:c r="Q9" s="2590" t="s">
        <x:v>771</x:v>
      </x:c>
      <x:c r="R9" s="2581" t="s">
        <x:v>775</x:v>
      </x:c>
      <x:c r="S9" s="2590" t="s">
        <x:v>760</x:v>
      </x:c>
      <x:c r="T9" s="2590" t="s">
        <x:v>761</x:v>
      </x:c>
      <x:c r="U9" s="2590" t="s">
        <x:v>762</x:v>
      </x:c>
      <x:c r="V9" s="2581" t="s">
        <x:v>763</x:v>
      </x:c>
      <x:c r="W9" s="861"/>
      <x:c r="X9" s="1155"/>
    </x:row>
    <x:row r="10" ht="39" customHeight="1">
      <x:c r="A10" s="2801">
        <x:v>45474</x:v>
      </x:c>
      <x:c r="B10" s="2797">
        <x:v>45565</x:v>
      </x:c>
      <x:c r="C10" s="2590" t="s">
        <x:v>131</x:v>
      </x:c>
      <x:c r="D10" s="2590" t="s">
        <x:v>754</x:v>
      </x:c>
      <x:c r="E10" s="2590" t="s">
        <x:v>755</x:v>
      </x:c>
      <x:c r="F10" s="2590" t="s">
        <x:v>535</x:v>
      </x:c>
      <x:c r="G10" s="2590" t="s">
        <x:v>776</x:v>
      </x:c>
      <x:c r="H10" s="2590" t="s">
        <x:v>756</x:v>
      </x:c>
      <x:c r="I10" s="2590" t="s">
        <x:v>757</x:v>
      </x:c>
      <x:c r="J10" s="2590" t="s">
        <x:v>758</x:v>
      </x:c>
      <x:c r="K10" s="2581" t="s">
        <x:v>777</x:v>
      </x:c>
      <x:c r="L10" s="2818"/>
      <x:c r="M10" s="2818"/>
      <x:c r="N10" s="2383">
        <x:v>1033</x:v>
      </x:c>
      <x:c r="O10" s="2394"/>
      <x:c r="P10" s="2530"/>
      <x:c r="Q10" s="2590" t="s">
        <x:v>320</x:v>
      </x:c>
      <x:c r="R10" s="2581" t="s">
        <x:v>778</x:v>
      </x:c>
      <x:c r="S10" s="2590" t="s">
        <x:v>760</x:v>
      </x:c>
      <x:c r="T10" s="2590" t="s">
        <x:v>761</x:v>
      </x:c>
      <x:c r="U10" s="2590" t="s">
        <x:v>762</x:v>
      </x:c>
      <x:c r="V10" s="2581" t="s">
        <x:v>763</x:v>
      </x:c>
      <x:c r="W10" s="861"/>
      <x:c r="X10" s="1155"/>
    </x:row>
    <x:row r="11" ht="39" customHeight="1">
      <x:c r="A11" s="2801">
        <x:v>45474</x:v>
      </x:c>
      <x:c r="B11" s="2797">
        <x:v>45565</x:v>
      </x:c>
      <x:c r="C11" s="2590" t="s">
        <x:v>131</x:v>
      </x:c>
      <x:c r="D11" s="2590" t="s">
        <x:v>754</x:v>
      </x:c>
      <x:c r="E11" s="2590" t="s">
        <x:v>755</x:v>
      </x:c>
      <x:c r="F11" s="2590" t="s">
        <x:v>535</x:v>
      </x:c>
      <x:c r="G11" s="2590" t="s">
        <x:v>62</x:v>
      </x:c>
      <x:c r="H11" s="2590" t="s">
        <x:v>756</x:v>
      </x:c>
      <x:c r="I11" s="2590" t="s">
        <x:v>779</x:v>
      </x:c>
      <x:c r="J11" s="2590" t="s">
        <x:v>780</x:v>
      </x:c>
      <x:c r="K11" s="2581" t="s">
        <x:v>647</x:v>
      </x:c>
      <x:c r="L11" s="2818"/>
      <x:c r="M11" s="2818"/>
      <x:c r="N11" s="2383">
        <x:v>711</x:v>
      </x:c>
      <x:c r="O11" s="2394"/>
      <x:c r="P11" s="2530"/>
      <x:c r="Q11" s="2590" t="s">
        <x:v>320</x:v>
      </x:c>
      <x:c r="R11" s="2581" t="s">
        <x:v>647</x:v>
      </x:c>
      <x:c r="S11" s="2590" t="s">
        <x:v>760</x:v>
      </x:c>
      <x:c r="T11" s="2590" t="s">
        <x:v>761</x:v>
      </x:c>
      <x:c r="U11" s="2590" t="s">
        <x:v>762</x:v>
      </x:c>
      <x:c r="V11" s="2581" t="s">
        <x:v>763</x:v>
      </x:c>
      <x:c r="W11" s="861"/>
      <x:c r="X11" s="1155"/>
    </x:row>
    <x:row r="12" ht="39" customHeight="1">
      <x:c r="A12" s="2801">
        <x:v>45474</x:v>
      </x:c>
      <x:c r="B12" s="2797">
        <x:v>45565</x:v>
      </x:c>
      <x:c r="C12" s="2590" t="s">
        <x:v>131</x:v>
      </x:c>
      <x:c r="D12" s="2590" t="s">
        <x:v>754</x:v>
      </x:c>
      <x:c r="E12" s="2590" t="s">
        <x:v>755</x:v>
      </x:c>
      <x:c r="F12" s="2590" t="s">
        <x:v>535</x:v>
      </x:c>
      <x:c r="G12" s="2590" t="s">
        <x:v>62</x:v>
      </x:c>
      <x:c r="H12" s="2590" t="s">
        <x:v>756</x:v>
      </x:c>
      <x:c r="I12" s="2590" t="s">
        <x:v>779</x:v>
      </x:c>
      <x:c r="J12" s="2590" t="s">
        <x:v>780</x:v>
      </x:c>
      <x:c r="K12" s="2581" t="s">
        <x:v>648</x:v>
      </x:c>
      <x:c r="L12" s="2818"/>
      <x:c r="M12" s="2818"/>
      <x:c r="N12" s="2383">
        <x:v>482</x:v>
      </x:c>
      <x:c r="O12" s="2394"/>
      <x:c r="P12" s="2530"/>
      <x:c r="Q12" s="2590" t="s">
        <x:v>320</x:v>
      </x:c>
      <x:c r="R12" s="2581" t="s">
        <x:v>648</x:v>
      </x:c>
      <x:c r="S12" s="2590" t="s">
        <x:v>760</x:v>
      </x:c>
      <x:c r="T12" s="2590" t="s">
        <x:v>761</x:v>
      </x:c>
      <x:c r="U12" s="2590" t="s">
        <x:v>762</x:v>
      </x:c>
      <x:c r="V12" s="2581" t="s">
        <x:v>763</x:v>
      </x:c>
      <x:c r="W12" s="861"/>
      <x:c r="X12" s="1155"/>
    </x:row>
    <x:row r="13" ht="39" customHeight="1">
      <x:c r="A13" s="2801">
        <x:v>45474</x:v>
      </x:c>
      <x:c r="B13" s="2797">
        <x:v>45565</x:v>
      </x:c>
      <x:c r="C13" s="2590" t="s">
        <x:v>131</x:v>
      </x:c>
      <x:c r="D13" s="2590" t="s">
        <x:v>754</x:v>
      </x:c>
      <x:c r="E13" s="2590" t="s">
        <x:v>755</x:v>
      </x:c>
      <x:c r="F13" s="2590" t="s">
        <x:v>535</x:v>
      </x:c>
      <x:c r="G13" s="2590" t="s">
        <x:v>62</x:v>
      </x:c>
      <x:c r="H13" s="2590" t="s">
        <x:v>756</x:v>
      </x:c>
      <x:c r="I13" s="2590" t="s">
        <x:v>779</x:v>
      </x:c>
      <x:c r="J13" s="2590" t="s">
        <x:v>780</x:v>
      </x:c>
      <x:c r="K13" s="2581" t="s">
        <x:v>781</x:v>
      </x:c>
      <x:c r="L13" s="2818"/>
      <x:c r="M13" s="2818"/>
      <x:c r="N13" s="2383">
        <x:v>187</x:v>
      </x:c>
      <x:c r="O13" s="2394"/>
      <x:c r="P13" s="2530"/>
      <x:c r="Q13" s="2590" t="s">
        <x:v>320</x:v>
      </x:c>
      <x:c r="R13" s="2581" t="s">
        <x:v>649</x:v>
      </x:c>
      <x:c r="S13" s="2590" t="s">
        <x:v>760</x:v>
      </x:c>
      <x:c r="T13" s="2590" t="s">
        <x:v>761</x:v>
      </x:c>
      <x:c r="U13" s="2590" t="s">
        <x:v>762</x:v>
      </x:c>
      <x:c r="V13" s="2581" t="s">
        <x:v>763</x:v>
      </x:c>
      <x:c r="W13" s="861"/>
      <x:c r="X13" s="1155"/>
    </x:row>
    <x:row r="14" ht="39" customHeight="1">
      <x:c r="A14" s="2801">
        <x:v>45474</x:v>
      </x:c>
      <x:c r="B14" s="2797">
        <x:v>45565</x:v>
      </x:c>
      <x:c r="C14" s="2590" t="s">
        <x:v>131</x:v>
      </x:c>
      <x:c r="D14" s="2590" t="s">
        <x:v>754</x:v>
      </x:c>
      <x:c r="E14" s="2590" t="s">
        <x:v>755</x:v>
      </x:c>
      <x:c r="F14" s="2590" t="s">
        <x:v>535</x:v>
      </x:c>
      <x:c r="G14" s="2590" t="s">
        <x:v>62</x:v>
      </x:c>
      <x:c r="H14" s="2590" t="s">
        <x:v>756</x:v>
      </x:c>
      <x:c r="I14" s="2590" t="s">
        <x:v>779</x:v>
      </x:c>
      <x:c r="J14" s="2590" t="s">
        <x:v>780</x:v>
      </x:c>
      <x:c r="K14" s="2581" t="s">
        <x:v>650</x:v>
      </x:c>
      <x:c r="L14" s="2818"/>
      <x:c r="M14" s="2818"/>
      <x:c r="N14" s="2383">
        <x:v>134</x:v>
      </x:c>
      <x:c r="O14" s="2394"/>
      <x:c r="P14" s="2530"/>
      <x:c r="Q14" s="2590" t="s">
        <x:v>320</x:v>
      </x:c>
      <x:c r="R14" s="2581" t="s">
        <x:v>650</x:v>
      </x:c>
      <x:c r="S14" s="2590" t="s">
        <x:v>760</x:v>
      </x:c>
      <x:c r="T14" s="2590" t="s">
        <x:v>761</x:v>
      </x:c>
      <x:c r="U14" s="2590" t="s">
        <x:v>762</x:v>
      </x:c>
      <x:c r="V14" s="2581" t="s">
        <x:v>763</x:v>
      </x:c>
      <x:c r="W14" s="861"/>
      <x:c r="X14" s="1155"/>
    </x:row>
    <x:row r="15" ht="39" customHeight="1">
      <x:c r="A15" s="2801">
        <x:v>45474</x:v>
      </x:c>
      <x:c r="B15" s="2797">
        <x:v>45565</x:v>
      </x:c>
      <x:c r="C15" s="2590" t="s">
        <x:v>131</x:v>
      </x:c>
      <x:c r="D15" s="2590" t="s">
        <x:v>754</x:v>
      </x:c>
      <x:c r="E15" s="2590" t="s">
        <x:v>755</x:v>
      </x:c>
      <x:c r="F15" s="2590" t="s">
        <x:v>535</x:v>
      </x:c>
      <x:c r="G15" s="2590" t="s">
        <x:v>776</x:v>
      </x:c>
      <x:c r="H15" s="2590" t="s">
        <x:v>756</x:v>
      </x:c>
      <x:c r="I15" s="2590" t="s">
        <x:v>779</x:v>
      </x:c>
      <x:c r="J15" s="2590" t="s">
        <x:v>780</x:v>
      </x:c>
      <x:c r="K15" s="2581" t="s">
        <x:v>650</x:v>
      </x:c>
      <x:c r="L15" s="2818"/>
      <x:c r="M15" s="2818"/>
      <x:c r="N15" s="2383">
        <x:v>494</x:v>
      </x:c>
      <x:c r="O15" s="2394"/>
      <x:c r="P15" s="2530"/>
      <x:c r="Q15" s="2590" t="s">
        <x:v>320</x:v>
      </x:c>
      <x:c r="R15" s="2581" t="s">
        <x:v>650</x:v>
      </x:c>
      <x:c r="S15" s="2590" t="s">
        <x:v>760</x:v>
      </x:c>
      <x:c r="T15" s="2590" t="s">
        <x:v>761</x:v>
      </x:c>
      <x:c r="U15" s="2590" t="s">
        <x:v>762</x:v>
      </x:c>
      <x:c r="V15" s="2581" t="s">
        <x:v>763</x:v>
      </x:c>
      <x:c r="W15" s="861"/>
      <x:c r="X15" s="1155"/>
    </x:row>
    <x:row r="16" ht="39" customHeight="1">
      <x:c r="A16" s="2801">
        <x:v>45474</x:v>
      </x:c>
      <x:c r="B16" s="2797">
        <x:v>45565</x:v>
      </x:c>
      <x:c r="C16" s="2590" t="s">
        <x:v>131</x:v>
      </x:c>
      <x:c r="D16" s="2590" t="s">
        <x:v>754</x:v>
      </x:c>
      <x:c r="E16" s="2590" t="s">
        <x:v>755</x:v>
      </x:c>
      <x:c r="F16" s="2590" t="s">
        <x:v>535</x:v>
      </x:c>
      <x:c r="G16" s="2590" t="s">
        <x:v>776</x:v>
      </x:c>
      <x:c r="H16" s="2590" t="s">
        <x:v>756</x:v>
      </x:c>
      <x:c r="I16" s="2590" t="s">
        <x:v>779</x:v>
      </x:c>
      <x:c r="J16" s="2590" t="s">
        <x:v>780</x:v>
      </x:c>
      <x:c r="K16" s="2581" t="s">
        <x:v>647</x:v>
      </x:c>
      <x:c r="L16" s="2818"/>
      <x:c r="M16" s="2818"/>
      <x:c r="N16" s="2383">
        <x:v>433</x:v>
      </x:c>
      <x:c r="O16" s="2394"/>
      <x:c r="P16" s="2530"/>
      <x:c r="Q16" s="2590" t="s">
        <x:v>320</x:v>
      </x:c>
      <x:c r="R16" s="2581" t="s">
        <x:v>647</x:v>
      </x:c>
      <x:c r="S16" s="2590" t="s">
        <x:v>760</x:v>
      </x:c>
      <x:c r="T16" s="2590" t="s">
        <x:v>761</x:v>
      </x:c>
      <x:c r="U16" s="2590" t="s">
        <x:v>762</x:v>
      </x:c>
      <x:c r="V16" s="2581" t="s">
        <x:v>763</x:v>
      </x:c>
      <x:c r="W16" s="861"/>
      <x:c r="X16" s="1155"/>
    </x:row>
    <x:row r="17" ht="39" customHeight="1">
      <x:c r="A17" s="2801">
        <x:v>45474</x:v>
      </x:c>
      <x:c r="B17" s="2797">
        <x:v>45565</x:v>
      </x:c>
      <x:c r="C17" s="2590" t="s">
        <x:v>131</x:v>
      </x:c>
      <x:c r="D17" s="2590" t="s">
        <x:v>754</x:v>
      </x:c>
      <x:c r="E17" s="2590" t="s">
        <x:v>755</x:v>
      </x:c>
      <x:c r="F17" s="2590" t="s">
        <x:v>535</x:v>
      </x:c>
      <x:c r="G17" s="2590" t="s">
        <x:v>776</x:v>
      </x:c>
      <x:c r="H17" s="2590" t="s">
        <x:v>756</x:v>
      </x:c>
      <x:c r="I17" s="2590" t="s">
        <x:v>779</x:v>
      </x:c>
      <x:c r="J17" s="2590" t="s">
        <x:v>780</x:v>
      </x:c>
      <x:c r="K17" s="2581" t="s">
        <x:v>781</x:v>
      </x:c>
      <x:c r="L17" s="2818"/>
      <x:c r="M17" s="2818"/>
      <x:c r="N17" s="2383">
        <x:v>56</x:v>
      </x:c>
      <x:c r="O17" s="2394"/>
      <x:c r="P17" s="2530"/>
      <x:c r="Q17" s="2590" t="s">
        <x:v>320</x:v>
      </x:c>
      <x:c r="R17" s="2581" t="s">
        <x:v>649</x:v>
      </x:c>
      <x:c r="S17" s="2590" t="s">
        <x:v>760</x:v>
      </x:c>
      <x:c r="T17" s="2590" t="s">
        <x:v>761</x:v>
      </x:c>
      <x:c r="U17" s="2590" t="s">
        <x:v>762</x:v>
      </x:c>
      <x:c r="V17" s="2581" t="s">
        <x:v>763</x:v>
      </x:c>
      <x:c r="W17" s="861"/>
      <x:c r="X17" s="1155"/>
    </x:row>
    <x:row r="18" ht="39" customHeight="1">
      <x:c r="A18" s="2801">
        <x:v>45474</x:v>
      </x:c>
      <x:c r="B18" s="2797">
        <x:v>45565</x:v>
      </x:c>
      <x:c r="C18" s="2590" t="s">
        <x:v>131</x:v>
      </x:c>
      <x:c r="D18" s="2590" t="s">
        <x:v>754</x:v>
      </x:c>
      <x:c r="E18" s="2590" t="s">
        <x:v>755</x:v>
      </x:c>
      <x:c r="F18" s="2590" t="s">
        <x:v>535</x:v>
      </x:c>
      <x:c r="G18" s="2590" t="s">
        <x:v>776</x:v>
      </x:c>
      <x:c r="H18" s="2590" t="s">
        <x:v>756</x:v>
      </x:c>
      <x:c r="I18" s="2590" t="s">
        <x:v>779</x:v>
      </x:c>
      <x:c r="J18" s="2590" t="s">
        <x:v>780</x:v>
      </x:c>
      <x:c r="K18" s="2581" t="s">
        <x:v>648</x:v>
      </x:c>
      <x:c r="L18" s="2818"/>
      <x:c r="M18" s="2818"/>
      <x:c r="N18" s="2383">
        <x:v>50</x:v>
      </x:c>
      <x:c r="O18" s="2394"/>
      <x:c r="P18" s="2530"/>
      <x:c r="Q18" s="2590" t="s">
        <x:v>320</x:v>
      </x:c>
      <x:c r="R18" s="2581" t="s">
        <x:v>648</x:v>
      </x:c>
      <x:c r="S18" s="2590" t="s">
        <x:v>760</x:v>
      </x:c>
      <x:c r="T18" s="2590" t="s">
        <x:v>761</x:v>
      </x:c>
      <x:c r="U18" s="2590" t="s">
        <x:v>762</x:v>
      </x:c>
      <x:c r="V18" s="2581" t="s">
        <x:v>763</x:v>
      </x:c>
      <x:c r="W18" s="861"/>
      <x:c r="X18" s="1155"/>
    </x:row>
    <x:row r="19" ht="39" customHeight="1">
      <x:c r="A19" s="2801">
        <x:v>45474</x:v>
      </x:c>
      <x:c r="B19" s="2797">
        <x:v>45565</x:v>
      </x:c>
      <x:c r="C19" s="2590" t="s">
        <x:v>131</x:v>
      </x:c>
      <x:c r="D19" s="2590" t="s">
        <x:v>754</x:v>
      </x:c>
      <x:c r="E19" s="2590" t="s">
        <x:v>755</x:v>
      </x:c>
      <x:c r="F19" s="2590" t="s">
        <x:v>535</x:v>
      </x:c>
      <x:c r="G19" s="2590" t="s">
        <x:v>62</x:v>
      </x:c>
      <x:c r="H19" s="2590" t="s">
        <x:v>782</x:v>
      </x:c>
      <x:c r="I19" s="2590" t="s">
        <x:v>783</x:v>
      </x:c>
      <x:c r="J19" s="2590" t="s">
        <x:v>784</x:v>
      </x:c>
      <x:c r="K19" s="2581" t="s">
        <x:v>655</x:v>
      </x:c>
      <x:c r="L19" s="2581" t="s">
        <x:v>785</x:v>
      </x:c>
      <x:c r="M19" s="2581" t="s">
        <x:v>786</x:v>
      </x:c>
      <x:c r="N19" s="2383">
        <x:v>199</x:v>
      </x:c>
      <x:c r="O19" s="2394"/>
      <x:c r="P19" s="2530">
        <x:v>5.1999999999999998E-2</x:v>
      </x:c>
      <x:c r="Q19" s="2590" t="s">
        <x:v>787</x:v>
      </x:c>
      <x:c r="R19" s="2581" t="s">
        <x:v>655</x:v>
      </x:c>
      <x:c r="S19" s="2590" t="s">
        <x:v>760</x:v>
      </x:c>
      <x:c r="T19" s="2590" t="s">
        <x:v>761</x:v>
      </x:c>
      <x:c r="U19" s="2590" t="s">
        <x:v>762</x:v>
      </x:c>
      <x:c r="V19" s="2581" t="s">
        <x:v>763</x:v>
      </x:c>
      <x:c r="W19" s="861"/>
      <x:c r="X19" s="1155"/>
    </x:row>
    <x:row r="20" ht="39" customHeight="1">
      <x:c r="A20" s="2801">
        <x:v>45474</x:v>
      </x:c>
      <x:c r="B20" s="2797">
        <x:v>45565</x:v>
      </x:c>
      <x:c r="C20" s="2590" t="s">
        <x:v>131</x:v>
      </x:c>
      <x:c r="D20" s="2590" t="s">
        <x:v>754</x:v>
      </x:c>
      <x:c r="E20" s="2590" t="s">
        <x:v>755</x:v>
      </x:c>
      <x:c r="F20" s="2590" t="s">
        <x:v>535</x:v>
      </x:c>
      <x:c r="G20" s="2590" t="s">
        <x:v>62</x:v>
      </x:c>
      <x:c r="H20" s="2590" t="s">
        <x:v>782</x:v>
      </x:c>
      <x:c r="I20" s="2590" t="s">
        <x:v>783</x:v>
      </x:c>
      <x:c r="J20" s="2590" t="s">
        <x:v>784</x:v>
      </x:c>
      <x:c r="K20" s="2581" t="s">
        <x:v>656</x:v>
      </x:c>
      <x:c r="L20" s="2581" t="s">
        <x:v>788</x:v>
      </x:c>
      <x:c r="M20" s="2581" t="s">
        <x:v>789</x:v>
      </x:c>
      <x:c r="N20" s="2383">
        <x:v>178</x:v>
      </x:c>
      <x:c r="O20" s="2394"/>
      <x:c r="P20" s="2530">
        <x:v>4.5999999999999999E-2</x:v>
      </x:c>
      <x:c r="Q20" s="2590" t="s">
        <x:v>787</x:v>
      </x:c>
      <x:c r="R20" s="2581" t="s">
        <x:v>656</x:v>
      </x:c>
      <x:c r="S20" s="2590" t="s">
        <x:v>760</x:v>
      </x:c>
      <x:c r="T20" s="2590" t="s">
        <x:v>761</x:v>
      </x:c>
      <x:c r="U20" s="2590" t="s">
        <x:v>762</x:v>
      </x:c>
      <x:c r="V20" s="2581" t="s">
        <x:v>763</x:v>
      </x:c>
      <x:c r="W20" s="861"/>
      <x:c r="X20" s="1155"/>
    </x:row>
    <x:row r="21" ht="39" customHeight="1">
      <x:c r="A21" s="2801">
        <x:v>45474</x:v>
      </x:c>
      <x:c r="B21" s="2797">
        <x:v>45565</x:v>
      </x:c>
      <x:c r="C21" s="2590" t="s">
        <x:v>131</x:v>
      </x:c>
      <x:c r="D21" s="2590" t="s">
        <x:v>754</x:v>
      </x:c>
      <x:c r="E21" s="2590" t="s">
        <x:v>755</x:v>
      </x:c>
      <x:c r="F21" s="2590" t="s">
        <x:v>535</x:v>
      </x:c>
      <x:c r="G21" s="2590" t="s">
        <x:v>62</x:v>
      </x:c>
      <x:c r="H21" s="2590" t="s">
        <x:v>782</x:v>
      </x:c>
      <x:c r="I21" s="2590" t="s">
        <x:v>783</x:v>
      </x:c>
      <x:c r="J21" s="2590" t="s">
        <x:v>784</x:v>
      </x:c>
      <x:c r="K21" s="2581" t="s">
        <x:v>654</x:v>
      </x:c>
      <x:c r="L21" s="2581" t="s">
        <x:v>785</x:v>
      </x:c>
      <x:c r="M21" s="2581" t="s">
        <x:v>790</x:v>
      </x:c>
      <x:c r="N21" s="2383">
        <x:v>176</x:v>
      </x:c>
      <x:c r="O21" s="2394"/>
      <x:c r="P21" s="2530">
        <x:v>4.5999999999999999E-2</x:v>
      </x:c>
      <x:c r="Q21" s="2590" t="s">
        <x:v>787</x:v>
      </x:c>
      <x:c r="R21" s="2581" t="s">
        <x:v>654</x:v>
      </x:c>
      <x:c r="S21" s="2590" t="s">
        <x:v>760</x:v>
      </x:c>
      <x:c r="T21" s="2590" t="s">
        <x:v>761</x:v>
      </x:c>
      <x:c r="U21" s="2590" t="s">
        <x:v>762</x:v>
      </x:c>
      <x:c r="V21" s="2581" t="s">
        <x:v>763</x:v>
      </x:c>
      <x:c r="W21" s="861"/>
      <x:c r="X21" s="1155"/>
    </x:row>
    <x:row r="22" ht="39" customHeight="1">
      <x:c r="A22" s="2801">
        <x:v>45474</x:v>
      </x:c>
      <x:c r="B22" s="2797">
        <x:v>45565</x:v>
      </x:c>
      <x:c r="C22" s="2590" t="s">
        <x:v>131</x:v>
      </x:c>
      <x:c r="D22" s="2590" t="s">
        <x:v>754</x:v>
      </x:c>
      <x:c r="E22" s="2590" t="s">
        <x:v>755</x:v>
      </x:c>
      <x:c r="F22" s="2590" t="s">
        <x:v>535</x:v>
      </x:c>
      <x:c r="G22" s="2590" t="s">
        <x:v>62</x:v>
      </x:c>
      <x:c r="H22" s="2590" t="s">
        <x:v>782</x:v>
      </x:c>
      <x:c r="I22" s="2590" t="s">
        <x:v>783</x:v>
      </x:c>
      <x:c r="J22" s="2590" t="s">
        <x:v>784</x:v>
      </x:c>
      <x:c r="K22" s="2581" t="s">
        <x:v>657</x:v>
      </x:c>
      <x:c r="L22" s="2581" t="s">
        <x:v>791</x:v>
      </x:c>
      <x:c r="M22" s="2581" t="s">
        <x:v>679</x:v>
      </x:c>
      <x:c r="N22" s="2383">
        <x:v>166</x:v>
      </x:c>
      <x:c r="O22" s="2394"/>
      <x:c r="P22" s="2530">
        <x:v>4.2999999999999997E-2</x:v>
      </x:c>
      <x:c r="Q22" s="2590" t="s">
        <x:v>787</x:v>
      </x:c>
      <x:c r="R22" s="2581" t="s">
        <x:v>657</x:v>
      </x:c>
      <x:c r="S22" s="2590" t="s">
        <x:v>760</x:v>
      </x:c>
      <x:c r="T22" s="2590" t="s">
        <x:v>761</x:v>
      </x:c>
      <x:c r="U22" s="2590" t="s">
        <x:v>762</x:v>
      </x:c>
      <x:c r="V22" s="2581" t="s">
        <x:v>763</x:v>
      </x:c>
      <x:c r="W22" s="861"/>
      <x:c r="X22" s="1155"/>
    </x:row>
    <x:row r="23" ht="39" customHeight="1">
      <x:c r="A23" s="2801">
        <x:v>45474</x:v>
      </x:c>
      <x:c r="B23" s="2797">
        <x:v>45565</x:v>
      </x:c>
      <x:c r="C23" s="2590" t="s">
        <x:v>131</x:v>
      </x:c>
      <x:c r="D23" s="2590" t="s">
        <x:v>754</x:v>
      </x:c>
      <x:c r="E23" s="2590" t="s">
        <x:v>755</x:v>
      </x:c>
      <x:c r="F23" s="2590" t="s">
        <x:v>535</x:v>
      </x:c>
      <x:c r="G23" s="2590" t="s">
        <x:v>62</x:v>
      </x:c>
      <x:c r="H23" s="2590" t="s">
        <x:v>782</x:v>
      </x:c>
      <x:c r="I23" s="2590" t="s">
        <x:v>783</x:v>
      </x:c>
      <x:c r="J23" s="2590" t="s">
        <x:v>784</x:v>
      </x:c>
      <x:c r="K23" s="2581" t="s">
        <x:v>662</x:v>
      </x:c>
      <x:c r="L23" s="2581" t="s">
        <x:v>788</x:v>
      </x:c>
      <x:c r="M23" s="2581" t="s">
        <x:v>792</x:v>
      </x:c>
      <x:c r="N23" s="2383">
        <x:v>155</x:v>
      </x:c>
      <x:c r="O23" s="2394"/>
      <x:c r="P23" s="2530">
        <x:v>0.04</x:v>
      </x:c>
      <x:c r="Q23" s="2590" t="s">
        <x:v>787</x:v>
      </x:c>
      <x:c r="R23" s="2581" t="s">
        <x:v>662</x:v>
      </x:c>
      <x:c r="S23" s="2590" t="s">
        <x:v>760</x:v>
      </x:c>
      <x:c r="T23" s="2590" t="s">
        <x:v>761</x:v>
      </x:c>
      <x:c r="U23" s="2590" t="s">
        <x:v>762</x:v>
      </x:c>
      <x:c r="V23" s="2581" t="s">
        <x:v>763</x:v>
      </x:c>
      <x:c r="W23" s="861"/>
      <x:c r="X23" s="1155"/>
    </x:row>
    <x:row r="24" ht="39" customHeight="1">
      <x:c r="A24" s="2801">
        <x:v>45474</x:v>
      </x:c>
      <x:c r="B24" s="2797">
        <x:v>45565</x:v>
      </x:c>
      <x:c r="C24" s="2590" t="s">
        <x:v>131</x:v>
      </x:c>
      <x:c r="D24" s="2590" t="s">
        <x:v>754</x:v>
      </x:c>
      <x:c r="E24" s="2590" t="s">
        <x:v>755</x:v>
      </x:c>
      <x:c r="F24" s="2590" t="s">
        <x:v>535</x:v>
      </x:c>
      <x:c r="G24" s="2590" t="s">
        <x:v>62</x:v>
      </x:c>
      <x:c r="H24" s="2590" t="s">
        <x:v>782</x:v>
      </x:c>
      <x:c r="I24" s="2590" t="s">
        <x:v>783</x:v>
      </x:c>
      <x:c r="J24" s="2590" t="s">
        <x:v>784</x:v>
      </x:c>
      <x:c r="K24" s="2581" t="s">
        <x:v>660</x:v>
      </x:c>
      <x:c r="L24" s="2581" t="s">
        <x:v>793</x:v>
      </x:c>
      <x:c r="M24" s="2581" t="s">
        <x:v>794</x:v>
      </x:c>
      <x:c r="N24" s="2383">
        <x:v>133</x:v>
      </x:c>
      <x:c r="O24" s="2394"/>
      <x:c r="P24" s="2530">
        <x:v>3.5000000000000003E-2</x:v>
      </x:c>
      <x:c r="Q24" s="2590" t="s">
        <x:v>787</x:v>
      </x:c>
      <x:c r="R24" s="2581" t="s">
        <x:v>660</x:v>
      </x:c>
      <x:c r="S24" s="2590" t="s">
        <x:v>760</x:v>
      </x:c>
      <x:c r="T24" s="2590" t="s">
        <x:v>761</x:v>
      </x:c>
      <x:c r="U24" s="2590" t="s">
        <x:v>762</x:v>
      </x:c>
      <x:c r="V24" s="2581" t="s">
        <x:v>763</x:v>
      </x:c>
      <x:c r="W24" s="861"/>
      <x:c r="X24" s="1155"/>
    </x:row>
    <x:row r="25" ht="39" customHeight="1">
      <x:c r="A25" s="2801">
        <x:v>45474</x:v>
      </x:c>
      <x:c r="B25" s="2797">
        <x:v>45565</x:v>
      </x:c>
      <x:c r="C25" s="2590" t="s">
        <x:v>131</x:v>
      </x:c>
      <x:c r="D25" s="2590" t="s">
        <x:v>754</x:v>
      </x:c>
      <x:c r="E25" s="2590" t="s">
        <x:v>755</x:v>
      </x:c>
      <x:c r="F25" s="2590" t="s">
        <x:v>535</x:v>
      </x:c>
      <x:c r="G25" s="2590" t="s">
        <x:v>62</x:v>
      </x:c>
      <x:c r="H25" s="2590" t="s">
        <x:v>782</x:v>
      </x:c>
      <x:c r="I25" s="2590" t="s">
        <x:v>783</x:v>
      </x:c>
      <x:c r="J25" s="2590" t="s">
        <x:v>784</x:v>
      </x:c>
      <x:c r="K25" s="2581" t="s">
        <x:v>667</x:v>
      </x:c>
      <x:c r="L25" s="2581" t="s">
        <x:v>795</x:v>
      </x:c>
      <x:c r="M25" s="2581" t="s">
        <x:v>796</x:v>
      </x:c>
      <x:c r="N25" s="2383">
        <x:v>131</x:v>
      </x:c>
      <x:c r="O25" s="2394"/>
      <x:c r="P25" s="2530">
        <x:v>3.4000000000000002E-2</x:v>
      </x:c>
      <x:c r="Q25" s="2590" t="s">
        <x:v>787</x:v>
      </x:c>
      <x:c r="R25" s="2581" t="s">
        <x:v>667</x:v>
      </x:c>
      <x:c r="S25" s="2590" t="s">
        <x:v>760</x:v>
      </x:c>
      <x:c r="T25" s="2590" t="s">
        <x:v>761</x:v>
      </x:c>
      <x:c r="U25" s="2590" t="s">
        <x:v>762</x:v>
      </x:c>
      <x:c r="V25" s="2581" t="s">
        <x:v>763</x:v>
      </x:c>
      <x:c r="W25" s="861"/>
      <x:c r="X25" s="1155"/>
    </x:row>
    <x:row r="26" ht="39" customHeight="1">
      <x:c r="A26" s="2801">
        <x:v>45474</x:v>
      </x:c>
      <x:c r="B26" s="2797">
        <x:v>45565</x:v>
      </x:c>
      <x:c r="C26" s="2590" t="s">
        <x:v>131</x:v>
      </x:c>
      <x:c r="D26" s="2590" t="s">
        <x:v>754</x:v>
      </x:c>
      <x:c r="E26" s="2590" t="s">
        <x:v>755</x:v>
      </x:c>
      <x:c r="F26" s="2590" t="s">
        <x:v>535</x:v>
      </x:c>
      <x:c r="G26" s="2590" t="s">
        <x:v>62</x:v>
      </x:c>
      <x:c r="H26" s="2590" t="s">
        <x:v>782</x:v>
      </x:c>
      <x:c r="I26" s="2590" t="s">
        <x:v>783</x:v>
      </x:c>
      <x:c r="J26" s="2590" t="s">
        <x:v>784</x:v>
      </x:c>
      <x:c r="K26" s="2581" t="s">
        <x:v>661</x:v>
      </x:c>
      <x:c r="L26" s="2581" t="s">
        <x:v>795</x:v>
      </x:c>
      <x:c r="M26" s="2581" t="s">
        <x:v>797</x:v>
      </x:c>
      <x:c r="N26" s="2383">
        <x:v>130</x:v>
      </x:c>
      <x:c r="O26" s="2394"/>
      <x:c r="P26" s="2530">
        <x:v>3.4000000000000002E-2</x:v>
      </x:c>
      <x:c r="Q26" s="2590" t="s">
        <x:v>787</x:v>
      </x:c>
      <x:c r="R26" s="2581" t="s">
        <x:v>661</x:v>
      </x:c>
      <x:c r="S26" s="2590" t="s">
        <x:v>760</x:v>
      </x:c>
      <x:c r="T26" s="2590" t="s">
        <x:v>761</x:v>
      </x:c>
      <x:c r="U26" s="2590" t="s">
        <x:v>762</x:v>
      </x:c>
      <x:c r="V26" s="2581" t="s">
        <x:v>763</x:v>
      </x:c>
      <x:c r="W26" s="861"/>
      <x:c r="X26" s="1155"/>
    </x:row>
    <x:row r="27" ht="39" customHeight="1">
      <x:c r="A27" s="2801">
        <x:v>45474</x:v>
      </x:c>
      <x:c r="B27" s="2797">
        <x:v>45565</x:v>
      </x:c>
      <x:c r="C27" s="2590" t="s">
        <x:v>131</x:v>
      </x:c>
      <x:c r="D27" s="2590" t="s">
        <x:v>754</x:v>
      </x:c>
      <x:c r="E27" s="2590" t="s">
        <x:v>755</x:v>
      </x:c>
      <x:c r="F27" s="2590" t="s">
        <x:v>535</x:v>
      </x:c>
      <x:c r="G27" s="2590" t="s">
        <x:v>62</x:v>
      </x:c>
      <x:c r="H27" s="2590" t="s">
        <x:v>782</x:v>
      </x:c>
      <x:c r="I27" s="2590" t="s">
        <x:v>783</x:v>
      </x:c>
      <x:c r="J27" s="2590" t="s">
        <x:v>784</x:v>
      </x:c>
      <x:c r="K27" s="2581" t="s">
        <x:v>659</x:v>
      </x:c>
      <x:c r="L27" s="2581" t="s">
        <x:v>798</x:v>
      </x:c>
      <x:c r="M27" s="2581" t="s">
        <x:v>799</x:v>
      </x:c>
      <x:c r="N27" s="2383">
        <x:v>129</x:v>
      </x:c>
      <x:c r="O27" s="2394"/>
      <x:c r="P27" s="2530">
        <x:v>3.4000000000000002E-2</x:v>
      </x:c>
      <x:c r="Q27" s="2590" t="s">
        <x:v>787</x:v>
      </x:c>
      <x:c r="R27" s="2581" t="s">
        <x:v>659</x:v>
      </x:c>
      <x:c r="S27" s="2590" t="s">
        <x:v>760</x:v>
      </x:c>
      <x:c r="T27" s="2590" t="s">
        <x:v>761</x:v>
      </x:c>
      <x:c r="U27" s="2590" t="s">
        <x:v>762</x:v>
      </x:c>
      <x:c r="V27" s="2581" t="s">
        <x:v>763</x:v>
      </x:c>
      <x:c r="W27" s="861"/>
      <x:c r="X27" s="1155"/>
    </x:row>
    <x:row r="28" ht="39" customHeight="1">
      <x:c r="A28" s="2801">
        <x:v>45474</x:v>
      </x:c>
      <x:c r="B28" s="2797">
        <x:v>45565</x:v>
      </x:c>
      <x:c r="C28" s="2590" t="s">
        <x:v>131</x:v>
      </x:c>
      <x:c r="D28" s="2590" t="s">
        <x:v>754</x:v>
      </x:c>
      <x:c r="E28" s="2590" t="s">
        <x:v>755</x:v>
      </x:c>
      <x:c r="F28" s="2590" t="s">
        <x:v>535</x:v>
      </x:c>
      <x:c r="G28" s="2590" t="s">
        <x:v>62</x:v>
      </x:c>
      <x:c r="H28" s="2590" t="s">
        <x:v>782</x:v>
      </x:c>
      <x:c r="I28" s="2590" t="s">
        <x:v>783</x:v>
      </x:c>
      <x:c r="J28" s="2590" t="s">
        <x:v>784</x:v>
      </x:c>
      <x:c r="K28" s="2581" t="s">
        <x:v>658</x:v>
      </x:c>
      <x:c r="L28" s="2581" t="s">
        <x:v>788</x:v>
      </x:c>
      <x:c r="M28" s="2581" t="s">
        <x:v>800</x:v>
      </x:c>
      <x:c r="N28" s="2383">
        <x:v>110</x:v>
      </x:c>
      <x:c r="O28" s="2394"/>
      <x:c r="P28" s="2530">
        <x:v>2.9000000000000001E-2</x:v>
      </x:c>
      <x:c r="Q28" s="2590" t="s">
        <x:v>787</x:v>
      </x:c>
      <x:c r="R28" s="2581" t="s">
        <x:v>658</x:v>
      </x:c>
      <x:c r="S28" s="2590" t="s">
        <x:v>760</x:v>
      </x:c>
      <x:c r="T28" s="2590" t="s">
        <x:v>761</x:v>
      </x:c>
      <x:c r="U28" s="2590" t="s">
        <x:v>762</x:v>
      </x:c>
      <x:c r="V28" s="2581" t="s">
        <x:v>763</x:v>
      </x:c>
      <x:c r="W28" s="861"/>
      <x:c r="X28" s="1155"/>
    </x:row>
    <x:row r="29" ht="39" customHeight="1">
      <x:c r="A29" s="2801">
        <x:v>45474</x:v>
      </x:c>
      <x:c r="B29" s="2797">
        <x:v>45565</x:v>
      </x:c>
      <x:c r="C29" s="2590" t="s">
        <x:v>131</x:v>
      </x:c>
      <x:c r="D29" s="2590" t="s">
        <x:v>754</x:v>
      </x:c>
      <x:c r="E29" s="2590" t="s">
        <x:v>755</x:v>
      </x:c>
      <x:c r="F29" s="2590" t="s">
        <x:v>535</x:v>
      </x:c>
      <x:c r="G29" s="2590" t="s">
        <x:v>62</x:v>
      </x:c>
      <x:c r="H29" s="2590" t="s">
        <x:v>782</x:v>
      </x:c>
      <x:c r="I29" s="2590" t="s">
        <x:v>783</x:v>
      </x:c>
      <x:c r="J29" s="2590" t="s">
        <x:v>784</x:v>
      </x:c>
      <x:c r="K29" s="2581" t="s">
        <x:v>665</x:v>
      </x:c>
      <x:c r="L29" s="2581" t="s">
        <x:v>785</x:v>
      </x:c>
      <x:c r="M29" s="2581" t="s">
        <x:v>801</x:v>
      </x:c>
      <x:c r="N29" s="2383">
        <x:v>97</x:v>
      </x:c>
      <x:c r="O29" s="2394"/>
      <x:c r="P29" s="2530">
        <x:v>2.5000000000000001E-2</x:v>
      </x:c>
      <x:c r="Q29" s="2590" t="s">
        <x:v>787</x:v>
      </x:c>
      <x:c r="R29" s="2581" t="s">
        <x:v>665</x:v>
      </x:c>
      <x:c r="S29" s="2590" t="s">
        <x:v>760</x:v>
      </x:c>
      <x:c r="T29" s="2590" t="s">
        <x:v>761</x:v>
      </x:c>
      <x:c r="U29" s="2590" t="s">
        <x:v>762</x:v>
      </x:c>
      <x:c r="V29" s="2581" t="s">
        <x:v>763</x:v>
      </x:c>
      <x:c r="W29" s="861"/>
      <x:c r="X29" s="1155"/>
    </x:row>
    <x:row r="30" ht="39" customHeight="1">
      <x:c r="A30" s="2801">
        <x:v>45474</x:v>
      </x:c>
      <x:c r="B30" s="2797">
        <x:v>45565</x:v>
      </x:c>
      <x:c r="C30" s="2590" t="s">
        <x:v>131</x:v>
      </x:c>
      <x:c r="D30" s="2590" t="s">
        <x:v>754</x:v>
      </x:c>
      <x:c r="E30" s="2590" t="s">
        <x:v>755</x:v>
      </x:c>
      <x:c r="F30" s="2590" t="s">
        <x:v>535</x:v>
      </x:c>
      <x:c r="G30" s="2590" t="s">
        <x:v>62</x:v>
      </x:c>
      <x:c r="H30" s="2590" t="s">
        <x:v>782</x:v>
      </x:c>
      <x:c r="I30" s="2590" t="s">
        <x:v>783</x:v>
      </x:c>
      <x:c r="J30" s="2590" t="s">
        <x:v>784</x:v>
      </x:c>
      <x:c r="K30" s="2581" t="s">
        <x:v>666</x:v>
      </x:c>
      <x:c r="L30" s="2581" t="s">
        <x:v>802</x:v>
      </x:c>
      <x:c r="M30" s="2581" t="s">
        <x:v>803</x:v>
      </x:c>
      <x:c r="N30" s="2383">
        <x:v>94</x:v>
      </x:c>
      <x:c r="O30" s="2394"/>
      <x:c r="P30" s="2530">
        <x:v>2.4E-2</x:v>
      </x:c>
      <x:c r="Q30" s="2590" t="s">
        <x:v>787</x:v>
      </x:c>
      <x:c r="R30" s="2581" t="s">
        <x:v>666</x:v>
      </x:c>
      <x:c r="S30" s="2590" t="s">
        <x:v>760</x:v>
      </x:c>
      <x:c r="T30" s="2590" t="s">
        <x:v>761</x:v>
      </x:c>
      <x:c r="U30" s="2590" t="s">
        <x:v>762</x:v>
      </x:c>
      <x:c r="V30" s="2581" t="s">
        <x:v>763</x:v>
      </x:c>
      <x:c r="W30" s="861"/>
      <x:c r="X30" s="1155"/>
    </x:row>
    <x:row r="31" ht="39" customHeight="1">
      <x:c r="A31" s="2801">
        <x:v>45474</x:v>
      </x:c>
      <x:c r="B31" s="2797">
        <x:v>45565</x:v>
      </x:c>
      <x:c r="C31" s="2590" t="s">
        <x:v>131</x:v>
      </x:c>
      <x:c r="D31" s="2590" t="s">
        <x:v>754</x:v>
      </x:c>
      <x:c r="E31" s="2590" t="s">
        <x:v>755</x:v>
      </x:c>
      <x:c r="F31" s="2590" t="s">
        <x:v>535</x:v>
      </x:c>
      <x:c r="G31" s="2590" t="s">
        <x:v>62</x:v>
      </x:c>
      <x:c r="H31" s="2590" t="s">
        <x:v>782</x:v>
      </x:c>
      <x:c r="I31" s="2590" t="s">
        <x:v>783</x:v>
      </x:c>
      <x:c r="J31" s="2590" t="s">
        <x:v>784</x:v>
      </x:c>
      <x:c r="K31" s="2581" t="s">
        <x:v>663</x:v>
      </x:c>
      <x:c r="L31" s="2581" t="s">
        <x:v>795</x:v>
      </x:c>
      <x:c r="M31" s="2581" t="s">
        <x:v>804</x:v>
      </x:c>
      <x:c r="N31" s="2383">
        <x:v>92</x:v>
      </x:c>
      <x:c r="O31" s="2394"/>
      <x:c r="P31" s="2530">
        <x:v>2.4E-2</x:v>
      </x:c>
      <x:c r="Q31" s="2590" t="s">
        <x:v>787</x:v>
      </x:c>
      <x:c r="R31" s="2581" t="s">
        <x:v>663</x:v>
      </x:c>
      <x:c r="S31" s="2590" t="s">
        <x:v>760</x:v>
      </x:c>
      <x:c r="T31" s="2590" t="s">
        <x:v>761</x:v>
      </x:c>
      <x:c r="U31" s="2590" t="s">
        <x:v>762</x:v>
      </x:c>
      <x:c r="V31" s="2581" t="s">
        <x:v>763</x:v>
      </x:c>
      <x:c r="W31" s="861"/>
      <x:c r="X31" s="1155"/>
    </x:row>
    <x:row r="32" ht="39" customHeight="1">
      <x:c r="A32" s="2801">
        <x:v>45474</x:v>
      </x:c>
      <x:c r="B32" s="2797">
        <x:v>45565</x:v>
      </x:c>
      <x:c r="C32" s="2590" t="s">
        <x:v>131</x:v>
      </x:c>
      <x:c r="D32" s="2590" t="s">
        <x:v>754</x:v>
      </x:c>
      <x:c r="E32" s="2590" t="s">
        <x:v>755</x:v>
      </x:c>
      <x:c r="F32" s="2590" t="s">
        <x:v>535</x:v>
      </x:c>
      <x:c r="G32" s="2590" t="s">
        <x:v>62</x:v>
      </x:c>
      <x:c r="H32" s="2590" t="s">
        <x:v>782</x:v>
      </x:c>
      <x:c r="I32" s="2590" t="s">
        <x:v>783</x:v>
      </x:c>
      <x:c r="J32" s="2590" t="s">
        <x:v>784</x:v>
      </x:c>
      <x:c r="K32" s="2581" t="s">
        <x:v>669</x:v>
      </x:c>
      <x:c r="L32" s="2581" t="s">
        <x:v>805</x:v>
      </x:c>
      <x:c r="M32" s="2581" t="s">
        <x:v>806</x:v>
      </x:c>
      <x:c r="N32" s="2383">
        <x:v>91</x:v>
      </x:c>
      <x:c r="O32" s="2394"/>
      <x:c r="P32" s="2530">
        <x:v>2.4E-2</x:v>
      </x:c>
      <x:c r="Q32" s="2590" t="s">
        <x:v>787</x:v>
      </x:c>
      <x:c r="R32" s="2581" t="s">
        <x:v>669</x:v>
      </x:c>
      <x:c r="S32" s="2590" t="s">
        <x:v>760</x:v>
      </x:c>
      <x:c r="T32" s="2590" t="s">
        <x:v>761</x:v>
      </x:c>
      <x:c r="U32" s="2590" t="s">
        <x:v>762</x:v>
      </x:c>
      <x:c r="V32" s="2581" t="s">
        <x:v>763</x:v>
      </x:c>
      <x:c r="W32" s="861"/>
      <x:c r="X32" s="1155"/>
    </x:row>
    <x:row r="33" ht="39" customHeight="1">
      <x:c r="A33" s="2801">
        <x:v>45474</x:v>
      </x:c>
      <x:c r="B33" s="2797">
        <x:v>45565</x:v>
      </x:c>
      <x:c r="C33" s="2590" t="s">
        <x:v>131</x:v>
      </x:c>
      <x:c r="D33" s="2590" t="s">
        <x:v>754</x:v>
      </x:c>
      <x:c r="E33" s="2590" t="s">
        <x:v>755</x:v>
      </x:c>
      <x:c r="F33" s="2590" t="s">
        <x:v>535</x:v>
      </x:c>
      <x:c r="G33" s="2590" t="s">
        <x:v>62</x:v>
      </x:c>
      <x:c r="H33" s="2590" t="s">
        <x:v>782</x:v>
      </x:c>
      <x:c r="I33" s="2590" t="s">
        <x:v>783</x:v>
      </x:c>
      <x:c r="J33" s="2590" t="s">
        <x:v>784</x:v>
      </x:c>
      <x:c r="K33" s="2581" t="s">
        <x:v>664</x:v>
      </x:c>
      <x:c r="L33" s="2581" t="s">
        <x:v>785</x:v>
      </x:c>
      <x:c r="M33" s="2581" t="s">
        <x:v>807</x:v>
      </x:c>
      <x:c r="N33" s="2383">
        <x:v>78</x:v>
      </x:c>
      <x:c r="O33" s="2394"/>
      <x:c r="P33" s="2530">
        <x:v>0.02</x:v>
      </x:c>
      <x:c r="Q33" s="2590" t="s">
        <x:v>787</x:v>
      </x:c>
      <x:c r="R33" s="2581" t="s">
        <x:v>664</x:v>
      </x:c>
      <x:c r="S33" s="2590" t="s">
        <x:v>760</x:v>
      </x:c>
      <x:c r="T33" s="2590" t="s">
        <x:v>761</x:v>
      </x:c>
      <x:c r="U33" s="2590" t="s">
        <x:v>762</x:v>
      </x:c>
      <x:c r="V33" s="2581" t="s">
        <x:v>763</x:v>
      </x:c>
      <x:c r="W33" s="861"/>
      <x:c r="X33" s="1155"/>
    </x:row>
    <x:row r="34" ht="39" customHeight="1">
      <x:c r="A34" s="2801">
        <x:v>45474</x:v>
      </x:c>
      <x:c r="B34" s="2797">
        <x:v>45565</x:v>
      </x:c>
      <x:c r="C34" s="2590" t="s">
        <x:v>131</x:v>
      </x:c>
      <x:c r="D34" s="2590" t="s">
        <x:v>754</x:v>
      </x:c>
      <x:c r="E34" s="2590" t="s">
        <x:v>755</x:v>
      </x:c>
      <x:c r="F34" s="2590" t="s">
        <x:v>535</x:v>
      </x:c>
      <x:c r="G34" s="2590" t="s">
        <x:v>62</x:v>
      </x:c>
      <x:c r="H34" s="2590" t="s">
        <x:v>782</x:v>
      </x:c>
      <x:c r="I34" s="2590" t="s">
        <x:v>783</x:v>
      </x:c>
      <x:c r="J34" s="2590" t="s">
        <x:v>784</x:v>
      </x:c>
      <x:c r="K34" s="2581" t="s">
        <x:v>684</x:v>
      </x:c>
      <x:c r="L34" s="2581" t="s">
        <x:v>793</x:v>
      </x:c>
      <x:c r="M34" s="2581" t="s">
        <x:v>808</x:v>
      </x:c>
      <x:c r="N34" s="2383">
        <x:v>78</x:v>
      </x:c>
      <x:c r="O34" s="2394"/>
      <x:c r="P34" s="2530">
        <x:v>0.02</x:v>
      </x:c>
      <x:c r="Q34" s="2590" t="s">
        <x:v>787</x:v>
      </x:c>
      <x:c r="R34" s="2581" t="s">
        <x:v>684</x:v>
      </x:c>
      <x:c r="S34" s="2590" t="s">
        <x:v>760</x:v>
      </x:c>
      <x:c r="T34" s="2590" t="s">
        <x:v>761</x:v>
      </x:c>
      <x:c r="U34" s="2590" t="s">
        <x:v>762</x:v>
      </x:c>
      <x:c r="V34" s="2581" t="s">
        <x:v>763</x:v>
      </x:c>
      <x:c r="W34" s="861"/>
      <x:c r="X34" s="1155"/>
    </x:row>
    <x:row r="35" ht="39" customHeight="1">
      <x:c r="A35" s="2801">
        <x:v>45474</x:v>
      </x:c>
      <x:c r="B35" s="2797">
        <x:v>45565</x:v>
      </x:c>
      <x:c r="C35" s="2590" t="s">
        <x:v>131</x:v>
      </x:c>
      <x:c r="D35" s="2590" t="s">
        <x:v>754</x:v>
      </x:c>
      <x:c r="E35" s="2590" t="s">
        <x:v>755</x:v>
      </x:c>
      <x:c r="F35" s="2590" t="s">
        <x:v>535</x:v>
      </x:c>
      <x:c r="G35" s="2590" t="s">
        <x:v>62</x:v>
      </x:c>
      <x:c r="H35" s="2590" t="s">
        <x:v>782</x:v>
      </x:c>
      <x:c r="I35" s="2590" t="s">
        <x:v>783</x:v>
      </x:c>
      <x:c r="J35" s="2590" t="s">
        <x:v>784</x:v>
      </x:c>
      <x:c r="K35" s="2581" t="s">
        <x:v>670</x:v>
      </x:c>
      <x:c r="L35" s="2581" t="s">
        <x:v>802</x:v>
      </x:c>
      <x:c r="M35" s="2581" t="s">
        <x:v>577</x:v>
      </x:c>
      <x:c r="N35" s="2383">
        <x:v>76</x:v>
      </x:c>
      <x:c r="O35" s="2394"/>
      <x:c r="P35" s="2530">
        <x:v>0.02</x:v>
      </x:c>
      <x:c r="Q35" s="2590" t="s">
        <x:v>787</x:v>
      </x:c>
      <x:c r="R35" s="2581" t="s">
        <x:v>670</x:v>
      </x:c>
      <x:c r="S35" s="2590" t="s">
        <x:v>760</x:v>
      </x:c>
      <x:c r="T35" s="2590" t="s">
        <x:v>761</x:v>
      </x:c>
      <x:c r="U35" s="2590" t="s">
        <x:v>762</x:v>
      </x:c>
      <x:c r="V35" s="2581" t="s">
        <x:v>763</x:v>
      </x:c>
      <x:c r="W35" s="861"/>
      <x:c r="X35" s="1155"/>
    </x:row>
    <x:row r="36" ht="39" customHeight="1">
      <x:c r="A36" s="2801">
        <x:v>45474</x:v>
      </x:c>
      <x:c r="B36" s="2797">
        <x:v>45565</x:v>
      </x:c>
      <x:c r="C36" s="2590" t="s">
        <x:v>131</x:v>
      </x:c>
      <x:c r="D36" s="2590" t="s">
        <x:v>754</x:v>
      </x:c>
      <x:c r="E36" s="2590" t="s">
        <x:v>755</x:v>
      </x:c>
      <x:c r="F36" s="2590" t="s">
        <x:v>535</x:v>
      </x:c>
      <x:c r="G36" s="2590" t="s">
        <x:v>62</x:v>
      </x:c>
      <x:c r="H36" s="2590" t="s">
        <x:v>782</x:v>
      </x:c>
      <x:c r="I36" s="2590" t="s">
        <x:v>783</x:v>
      </x:c>
      <x:c r="J36" s="2590" t="s">
        <x:v>784</x:v>
      </x:c>
      <x:c r="K36" s="2581" t="s">
        <x:v>671</x:v>
      </x:c>
      <x:c r="L36" s="2581" t="s">
        <x:v>809</x:v>
      </x:c>
      <x:c r="M36" s="2581" t="s">
        <x:v>701</x:v>
      </x:c>
      <x:c r="N36" s="2383">
        <x:v>75</x:v>
      </x:c>
      <x:c r="O36" s="2394"/>
      <x:c r="P36" s="2530">
        <x:v>0.02</x:v>
      </x:c>
      <x:c r="Q36" s="2590" t="s">
        <x:v>787</x:v>
      </x:c>
      <x:c r="R36" s="2581" t="s">
        <x:v>671</x:v>
      </x:c>
      <x:c r="S36" s="2590" t="s">
        <x:v>760</x:v>
      </x:c>
      <x:c r="T36" s="2590" t="s">
        <x:v>761</x:v>
      </x:c>
      <x:c r="U36" s="2590" t="s">
        <x:v>762</x:v>
      </x:c>
      <x:c r="V36" s="2581" t="s">
        <x:v>763</x:v>
      </x:c>
      <x:c r="W36" s="861"/>
      <x:c r="X36" s="1155"/>
    </x:row>
    <x:row r="37" ht="39" customHeight="1">
      <x:c r="A37" s="2801">
        <x:v>45474</x:v>
      </x:c>
      <x:c r="B37" s="2797">
        <x:v>45565</x:v>
      </x:c>
      <x:c r="C37" s="2590" t="s">
        <x:v>131</x:v>
      </x:c>
      <x:c r="D37" s="2590" t="s">
        <x:v>754</x:v>
      </x:c>
      <x:c r="E37" s="2590" t="s">
        <x:v>755</x:v>
      </x:c>
      <x:c r="F37" s="2590" t="s">
        <x:v>535</x:v>
      </x:c>
      <x:c r="G37" s="2590" t="s">
        <x:v>62</x:v>
      </x:c>
      <x:c r="H37" s="2590" t="s">
        <x:v>782</x:v>
      </x:c>
      <x:c r="I37" s="2590" t="s">
        <x:v>783</x:v>
      </x:c>
      <x:c r="J37" s="2590" t="s">
        <x:v>784</x:v>
      </x:c>
      <x:c r="K37" s="2581" t="s">
        <x:v>668</x:v>
      </x:c>
      <x:c r="L37" s="2581" t="s">
        <x:v>785</x:v>
      </x:c>
      <x:c r="M37" s="2581" t="s">
        <x:v>810</x:v>
      </x:c>
      <x:c r="N37" s="2383">
        <x:v>66</x:v>
      </x:c>
      <x:c r="O37" s="2394"/>
      <x:c r="P37" s="2530">
        <x:v>1.7000000000000001E-2</x:v>
      </x:c>
      <x:c r="Q37" s="2590" t="s">
        <x:v>787</x:v>
      </x:c>
      <x:c r="R37" s="2581" t="s">
        <x:v>668</x:v>
      </x:c>
      <x:c r="S37" s="2590" t="s">
        <x:v>760</x:v>
      </x:c>
      <x:c r="T37" s="2590" t="s">
        <x:v>761</x:v>
      </x:c>
      <x:c r="U37" s="2590" t="s">
        <x:v>762</x:v>
      </x:c>
      <x:c r="V37" s="2581" t="s">
        <x:v>763</x:v>
      </x:c>
      <x:c r="W37" s="861"/>
      <x:c r="X37" s="1155"/>
    </x:row>
    <x:row r="38" ht="39" customHeight="1">
      <x:c r="A38" s="2801">
        <x:v>45474</x:v>
      </x:c>
      <x:c r="B38" s="2797">
        <x:v>45565</x:v>
      </x:c>
      <x:c r="C38" s="2590" t="s">
        <x:v>131</x:v>
      </x:c>
      <x:c r="D38" s="2590" t="s">
        <x:v>754</x:v>
      </x:c>
      <x:c r="E38" s="2590" t="s">
        <x:v>755</x:v>
      </x:c>
      <x:c r="F38" s="2590" t="s">
        <x:v>535</x:v>
      </x:c>
      <x:c r="G38" s="2590" t="s">
        <x:v>62</x:v>
      </x:c>
      <x:c r="H38" s="2590" t="s">
        <x:v>782</x:v>
      </x:c>
      <x:c r="I38" s="2590" t="s">
        <x:v>783</x:v>
      </x:c>
      <x:c r="J38" s="2590" t="s">
        <x:v>784</x:v>
      </x:c>
      <x:c r="K38" s="2581" t="s">
        <x:v>811</x:v>
      </x:c>
      <x:c r="L38" s="2581" t="s">
        <x:v>785</x:v>
      </x:c>
      <x:c r="M38" s="2581" t="s">
        <x:v>812</x:v>
      </x:c>
      <x:c r="N38" s="2383">
        <x:v>64</x:v>
      </x:c>
      <x:c r="O38" s="2394"/>
      <x:c r="P38" s="2530">
        <x:v>1.7000000000000001E-2</x:v>
      </x:c>
      <x:c r="Q38" s="2590" t="s">
        <x:v>787</x:v>
      </x:c>
      <x:c r="R38" s="2581" t="s">
        <x:v>811</x:v>
      </x:c>
      <x:c r="S38" s="2590" t="s">
        <x:v>760</x:v>
      </x:c>
      <x:c r="T38" s="2590" t="s">
        <x:v>761</x:v>
      </x:c>
      <x:c r="U38" s="2590" t="s">
        <x:v>762</x:v>
      </x:c>
      <x:c r="V38" s="2581" t="s">
        <x:v>763</x:v>
      </x:c>
      <x:c r="W38" s="861"/>
      <x:c r="X38" s="1155"/>
    </x:row>
    <x:row r="39" ht="39" customHeight="1">
      <x:c r="A39" s="2801">
        <x:v>45474</x:v>
      </x:c>
      <x:c r="B39" s="2797">
        <x:v>45565</x:v>
      </x:c>
      <x:c r="C39" s="2590" t="s">
        <x:v>131</x:v>
      </x:c>
      <x:c r="D39" s="2590" t="s">
        <x:v>754</x:v>
      </x:c>
      <x:c r="E39" s="2590" t="s">
        <x:v>755</x:v>
      </x:c>
      <x:c r="F39" s="2590" t="s">
        <x:v>535</x:v>
      </x:c>
      <x:c r="G39" s="2590" t="s">
        <x:v>776</x:v>
      </x:c>
      <x:c r="H39" s="2590" t="s">
        <x:v>782</x:v>
      </x:c>
      <x:c r="I39" s="2590" t="s">
        <x:v>783</x:v>
      </x:c>
      <x:c r="J39" s="2590" t="s">
        <x:v>784</x:v>
      </x:c>
      <x:c r="K39" s="2581" t="s">
        <x:v>667</x:v>
      </x:c>
      <x:c r="L39" s="2581" t="s">
        <x:v>795</x:v>
      </x:c>
      <x:c r="M39" s="2581" t="s">
        <x:v>796</x:v>
      </x:c>
      <x:c r="N39" s="2383">
        <x:v>274</x:v>
      </x:c>
      <x:c r="O39" s="2394"/>
      <x:c r="P39" s="2530">
        <x:v>0.13</x:v>
      </x:c>
      <x:c r="Q39" s="2590" t="s">
        <x:v>787</x:v>
      </x:c>
      <x:c r="R39" s="2581" t="s">
        <x:v>667</x:v>
      </x:c>
      <x:c r="S39" s="2590" t="s">
        <x:v>760</x:v>
      </x:c>
      <x:c r="T39" s="2590" t="s">
        <x:v>761</x:v>
      </x:c>
      <x:c r="U39" s="2590" t="s">
        <x:v>762</x:v>
      </x:c>
      <x:c r="V39" s="2581" t="s">
        <x:v>763</x:v>
      </x:c>
      <x:c r="W39" s="861"/>
      <x:c r="X39" s="1155"/>
    </x:row>
    <x:row r="40" ht="39" customHeight="1">
      <x:c r="A40" s="2801">
        <x:v>45474</x:v>
      </x:c>
      <x:c r="B40" s="2797">
        <x:v>45565</x:v>
      </x:c>
      <x:c r="C40" s="2590" t="s">
        <x:v>131</x:v>
      </x:c>
      <x:c r="D40" s="2590" t="s">
        <x:v>754</x:v>
      </x:c>
      <x:c r="E40" s="2590" t="s">
        <x:v>755</x:v>
      </x:c>
      <x:c r="F40" s="2590" t="s">
        <x:v>535</x:v>
      </x:c>
      <x:c r="G40" s="2590" t="s">
        <x:v>776</x:v>
      </x:c>
      <x:c r="H40" s="2590" t="s">
        <x:v>782</x:v>
      </x:c>
      <x:c r="I40" s="2590" t="s">
        <x:v>783</x:v>
      </x:c>
      <x:c r="J40" s="2590" t="s">
        <x:v>784</x:v>
      </x:c>
      <x:c r="K40" s="2581" t="s">
        <x:v>671</x:v>
      </x:c>
      <x:c r="L40" s="2581" t="s">
        <x:v>809</x:v>
      </x:c>
      <x:c r="M40" s="2581" t="s">
        <x:v>701</x:v>
      </x:c>
      <x:c r="N40" s="2383">
        <x:v>212</x:v>
      </x:c>
      <x:c r="O40" s="2394"/>
      <x:c r="P40" s="2530">
        <x:v>0.1</x:v>
      </x:c>
      <x:c r="Q40" s="2590" t="s">
        <x:v>787</x:v>
      </x:c>
      <x:c r="R40" s="2581" t="s">
        <x:v>671</x:v>
      </x:c>
      <x:c r="S40" s="2590" t="s">
        <x:v>760</x:v>
      </x:c>
      <x:c r="T40" s="2590" t="s">
        <x:v>761</x:v>
      </x:c>
      <x:c r="U40" s="2590" t="s">
        <x:v>762</x:v>
      </x:c>
      <x:c r="V40" s="2581" t="s">
        <x:v>763</x:v>
      </x:c>
      <x:c r="W40" s="861"/>
      <x:c r="X40" s="1155"/>
    </x:row>
    <x:row r="41" ht="39" customHeight="1">
      <x:c r="A41" s="2801">
        <x:v>45474</x:v>
      </x:c>
      <x:c r="B41" s="2797">
        <x:v>45565</x:v>
      </x:c>
      <x:c r="C41" s="2590" t="s">
        <x:v>131</x:v>
      </x:c>
      <x:c r="D41" s="2590" t="s">
        <x:v>754</x:v>
      </x:c>
      <x:c r="E41" s="2590" t="s">
        <x:v>755</x:v>
      </x:c>
      <x:c r="F41" s="2590" t="s">
        <x:v>535</x:v>
      </x:c>
      <x:c r="G41" s="2590" t="s">
        <x:v>776</x:v>
      </x:c>
      <x:c r="H41" s="2590" t="s">
        <x:v>782</x:v>
      </x:c>
      <x:c r="I41" s="2590" t="s">
        <x:v>783</x:v>
      </x:c>
      <x:c r="J41" s="2590" t="s">
        <x:v>784</x:v>
      </x:c>
      <x:c r="K41" s="2581" t="s">
        <x:v>684</x:v>
      </x:c>
      <x:c r="L41" s="2581" t="s">
        <x:v>793</x:v>
      </x:c>
      <x:c r="M41" s="2581" t="s">
        <x:v>808</x:v>
      </x:c>
      <x:c r="N41" s="2383">
        <x:v>143</x:v>
      </x:c>
      <x:c r="O41" s="2394"/>
      <x:c r="P41" s="2530">
        <x:v>6.8000000000000005E-2</x:v>
      </x:c>
      <x:c r="Q41" s="2590" t="s">
        <x:v>787</x:v>
      </x:c>
      <x:c r="R41" s="2581" t="s">
        <x:v>684</x:v>
      </x:c>
      <x:c r="S41" s="2590" t="s">
        <x:v>760</x:v>
      </x:c>
      <x:c r="T41" s="2590" t="s">
        <x:v>761</x:v>
      </x:c>
      <x:c r="U41" s="2590" t="s">
        <x:v>762</x:v>
      </x:c>
      <x:c r="V41" s="2581" t="s">
        <x:v>763</x:v>
      </x:c>
      <x:c r="W41" s="861"/>
      <x:c r="X41" s="1155"/>
    </x:row>
    <x:row r="42" ht="39" customHeight="1">
      <x:c r="A42" s="2801">
        <x:v>45474</x:v>
      </x:c>
      <x:c r="B42" s="2797">
        <x:v>45565</x:v>
      </x:c>
      <x:c r="C42" s="2590" t="s">
        <x:v>131</x:v>
      </x:c>
      <x:c r="D42" s="2590" t="s">
        <x:v>754</x:v>
      </x:c>
      <x:c r="E42" s="2590" t="s">
        <x:v>755</x:v>
      </x:c>
      <x:c r="F42" s="2590" t="s">
        <x:v>535</x:v>
      </x:c>
      <x:c r="G42" s="2590" t="s">
        <x:v>776</x:v>
      </x:c>
      <x:c r="H42" s="2590" t="s">
        <x:v>782</x:v>
      </x:c>
      <x:c r="I42" s="2590" t="s">
        <x:v>783</x:v>
      </x:c>
      <x:c r="J42" s="2590" t="s">
        <x:v>784</x:v>
      </x:c>
      <x:c r="K42" s="2581" t="s">
        <x:v>686</x:v>
      </x:c>
      <x:c r="L42" s="2581" t="s">
        <x:v>809</x:v>
      </x:c>
      <x:c r="M42" s="2581" t="s">
        <x:v>704</x:v>
      </x:c>
      <x:c r="N42" s="2383">
        <x:v>137</x:v>
      </x:c>
      <x:c r="O42" s="2394"/>
      <x:c r="P42" s="2530">
        <x:v>6.5000000000000002E-2</x:v>
      </x:c>
      <x:c r="Q42" s="2590" t="s">
        <x:v>787</x:v>
      </x:c>
      <x:c r="R42" s="2581" t="s">
        <x:v>686</x:v>
      </x:c>
      <x:c r="S42" s="2590" t="s">
        <x:v>760</x:v>
      </x:c>
      <x:c r="T42" s="2590" t="s">
        <x:v>761</x:v>
      </x:c>
      <x:c r="U42" s="2590" t="s">
        <x:v>762</x:v>
      </x:c>
      <x:c r="V42" s="2581" t="s">
        <x:v>763</x:v>
      </x:c>
      <x:c r="W42" s="861"/>
      <x:c r="X42" s="1155"/>
    </x:row>
    <x:row r="43" ht="39" customHeight="1">
      <x:c r="A43" s="2801">
        <x:v>45474</x:v>
      </x:c>
      <x:c r="B43" s="2797">
        <x:v>45565</x:v>
      </x:c>
      <x:c r="C43" s="2590" t="s">
        <x:v>131</x:v>
      </x:c>
      <x:c r="D43" s="2590" t="s">
        <x:v>754</x:v>
      </x:c>
      <x:c r="E43" s="2590" t="s">
        <x:v>755</x:v>
      </x:c>
      <x:c r="F43" s="2590" t="s">
        <x:v>535</x:v>
      </x:c>
      <x:c r="G43" s="2590" t="s">
        <x:v>776</x:v>
      </x:c>
      <x:c r="H43" s="2590" t="s">
        <x:v>782</x:v>
      </x:c>
      <x:c r="I43" s="2590" t="s">
        <x:v>783</x:v>
      </x:c>
      <x:c r="J43" s="2590" t="s">
        <x:v>784</x:v>
      </x:c>
      <x:c r="K43" s="2581" t="s">
        <x:v>689</x:v>
      </x:c>
      <x:c r="L43" s="2581" t="s">
        <x:v>809</x:v>
      </x:c>
      <x:c r="M43" s="2581" t="s">
        <x:v>813</x:v>
      </x:c>
      <x:c r="N43" s="2383">
        <x:v>101</x:v>
      </x:c>
      <x:c r="O43" s="2394"/>
      <x:c r="P43" s="2530">
        <x:v>4.8000000000000001E-2</x:v>
      </x:c>
      <x:c r="Q43" s="2590" t="s">
        <x:v>787</x:v>
      </x:c>
      <x:c r="R43" s="2581" t="s">
        <x:v>689</x:v>
      </x:c>
      <x:c r="S43" s="2590" t="s">
        <x:v>760</x:v>
      </x:c>
      <x:c r="T43" s="2590" t="s">
        <x:v>761</x:v>
      </x:c>
      <x:c r="U43" s="2590" t="s">
        <x:v>762</x:v>
      </x:c>
      <x:c r="V43" s="2581" t="s">
        <x:v>763</x:v>
      </x:c>
      <x:c r="W43" s="861"/>
      <x:c r="X43" s="1155"/>
    </x:row>
    <x:row r="44" ht="39" customHeight="1">
      <x:c r="A44" s="2801">
        <x:v>45474</x:v>
      </x:c>
      <x:c r="B44" s="2797">
        <x:v>45565</x:v>
      </x:c>
      <x:c r="C44" s="2590" t="s">
        <x:v>131</x:v>
      </x:c>
      <x:c r="D44" s="2590" t="s">
        <x:v>754</x:v>
      </x:c>
      <x:c r="E44" s="2590" t="s">
        <x:v>755</x:v>
      </x:c>
      <x:c r="F44" s="2590" t="s">
        <x:v>535</x:v>
      </x:c>
      <x:c r="G44" s="2590" t="s">
        <x:v>776</x:v>
      </x:c>
      <x:c r="H44" s="2590" t="s">
        <x:v>782</x:v>
      </x:c>
      <x:c r="I44" s="2590" t="s">
        <x:v>783</x:v>
      </x:c>
      <x:c r="J44" s="2590" t="s">
        <x:v>784</x:v>
      </x:c>
      <x:c r="K44" s="2581" t="s">
        <x:v>687</x:v>
      </x:c>
      <x:c r="L44" s="2581" t="s">
        <x:v>809</x:v>
      </x:c>
      <x:c r="M44" s="2581" t="s">
        <x:v>814</x:v>
      </x:c>
      <x:c r="N44" s="2383">
        <x:v>97</x:v>
      </x:c>
      <x:c r="O44" s="2394"/>
      <x:c r="P44" s="2530">
        <x:v>4.5999999999999999E-2</x:v>
      </x:c>
      <x:c r="Q44" s="2590" t="s">
        <x:v>787</x:v>
      </x:c>
      <x:c r="R44" s="2581" t="s">
        <x:v>687</x:v>
      </x:c>
      <x:c r="S44" s="2590" t="s">
        <x:v>760</x:v>
      </x:c>
      <x:c r="T44" s="2590" t="s">
        <x:v>761</x:v>
      </x:c>
      <x:c r="U44" s="2590" t="s">
        <x:v>762</x:v>
      </x:c>
      <x:c r="V44" s="2581" t="s">
        <x:v>763</x:v>
      </x:c>
      <x:c r="W44" s="861"/>
      <x:c r="X44" s="1155"/>
    </x:row>
    <x:row r="45" ht="39" customHeight="1">
      <x:c r="A45" s="2801">
        <x:v>45474</x:v>
      </x:c>
      <x:c r="B45" s="2797">
        <x:v>45565</x:v>
      </x:c>
      <x:c r="C45" s="2590" t="s">
        <x:v>131</x:v>
      </x:c>
      <x:c r="D45" s="2590" t="s">
        <x:v>754</x:v>
      </x:c>
      <x:c r="E45" s="2590" t="s">
        <x:v>755</x:v>
      </x:c>
      <x:c r="F45" s="2590" t="s">
        <x:v>535</x:v>
      </x:c>
      <x:c r="G45" s="2590" t="s">
        <x:v>776</x:v>
      </x:c>
      <x:c r="H45" s="2590" t="s">
        <x:v>782</x:v>
      </x:c>
      <x:c r="I45" s="2590" t="s">
        <x:v>783</x:v>
      </x:c>
      <x:c r="J45" s="2590" t="s">
        <x:v>784</x:v>
      </x:c>
      <x:c r="K45" s="2581" t="s">
        <x:v>685</x:v>
      </x:c>
      <x:c r="L45" s="2581" t="s">
        <x:v>793</x:v>
      </x:c>
      <x:c r="M45" s="2581" t="s">
        <x:v>703</x:v>
      </x:c>
      <x:c r="N45" s="2383">
        <x:v>88</x:v>
      </x:c>
      <x:c r="O45" s="2394"/>
      <x:c r="P45" s="2530">
        <x:v>4.2000000000000003E-2</x:v>
      </x:c>
      <x:c r="Q45" s="2590" t="s">
        <x:v>787</x:v>
      </x:c>
      <x:c r="R45" s="2581" t="s">
        <x:v>685</x:v>
      </x:c>
      <x:c r="S45" s="2590" t="s">
        <x:v>760</x:v>
      </x:c>
      <x:c r="T45" s="2590" t="s">
        <x:v>761</x:v>
      </x:c>
      <x:c r="U45" s="2590" t="s">
        <x:v>762</x:v>
      </x:c>
      <x:c r="V45" s="2581" t="s">
        <x:v>763</x:v>
      </x:c>
      <x:c r="W45" s="861"/>
      <x:c r="X45" s="1155"/>
    </x:row>
    <x:row r="46" ht="39" customHeight="1">
      <x:c r="A46" s="2801">
        <x:v>45474</x:v>
      </x:c>
      <x:c r="B46" s="2797">
        <x:v>45565</x:v>
      </x:c>
      <x:c r="C46" s="2590" t="s">
        <x:v>131</x:v>
      </x:c>
      <x:c r="D46" s="2590" t="s">
        <x:v>754</x:v>
      </x:c>
      <x:c r="E46" s="2590" t="s">
        <x:v>755</x:v>
      </x:c>
      <x:c r="F46" s="2590" t="s">
        <x:v>535</x:v>
      </x:c>
      <x:c r="G46" s="2590" t="s">
        <x:v>776</x:v>
      </x:c>
      <x:c r="H46" s="2590" t="s">
        <x:v>782</x:v>
      </x:c>
      <x:c r="I46" s="2590" t="s">
        <x:v>783</x:v>
      </x:c>
      <x:c r="J46" s="2590" t="s">
        <x:v>784</x:v>
      </x:c>
      <x:c r="K46" s="2581" t="s">
        <x:v>690</x:v>
      </x:c>
      <x:c r="L46" s="2581" t="s">
        <x:v>809</x:v>
      </x:c>
      <x:c r="M46" s="2581" t="s">
        <x:v>815</x:v>
      </x:c>
      <x:c r="N46" s="2383">
        <x:v>85</x:v>
      </x:c>
      <x:c r="O46" s="2394"/>
      <x:c r="P46" s="2530">
        <x:v>0.04</x:v>
      </x:c>
      <x:c r="Q46" s="2590" t="s">
        <x:v>787</x:v>
      </x:c>
      <x:c r="R46" s="2581" t="s">
        <x:v>690</x:v>
      </x:c>
      <x:c r="S46" s="2590" t="s">
        <x:v>760</x:v>
      </x:c>
      <x:c r="T46" s="2590" t="s">
        <x:v>761</x:v>
      </x:c>
      <x:c r="U46" s="2590" t="s">
        <x:v>762</x:v>
      </x:c>
      <x:c r="V46" s="2581" t="s">
        <x:v>763</x:v>
      </x:c>
      <x:c r="W46" s="861"/>
      <x:c r="X46" s="1155"/>
    </x:row>
    <x:row r="47" ht="39" customHeight="1">
      <x:c r="A47" s="2801">
        <x:v>45474</x:v>
      </x:c>
      <x:c r="B47" s="2797">
        <x:v>45565</x:v>
      </x:c>
      <x:c r="C47" s="2590" t="s">
        <x:v>131</x:v>
      </x:c>
      <x:c r="D47" s="2590" t="s">
        <x:v>754</x:v>
      </x:c>
      <x:c r="E47" s="2590" t="s">
        <x:v>755</x:v>
      </x:c>
      <x:c r="F47" s="2590" t="s">
        <x:v>535</x:v>
      </x:c>
      <x:c r="G47" s="2590" t="s">
        <x:v>776</x:v>
      </x:c>
      <x:c r="H47" s="2590" t="s">
        <x:v>782</x:v>
      </x:c>
      <x:c r="I47" s="2590" t="s">
        <x:v>783</x:v>
      </x:c>
      <x:c r="J47" s="2590" t="s">
        <x:v>784</x:v>
      </x:c>
      <x:c r="K47" s="2581" t="s">
        <x:v>658</x:v>
      </x:c>
      <x:c r="L47" s="2581" t="s">
        <x:v>788</x:v>
      </x:c>
      <x:c r="M47" s="2581" t="s">
        <x:v>800</x:v>
      </x:c>
      <x:c r="N47" s="2383">
        <x:v>81</x:v>
      </x:c>
      <x:c r="O47" s="2394"/>
      <x:c r="P47" s="2530">
        <x:v>3.7999999999999999E-2</x:v>
      </x:c>
      <x:c r="Q47" s="2590" t="s">
        <x:v>787</x:v>
      </x:c>
      <x:c r="R47" s="2581" t="s">
        <x:v>658</x:v>
      </x:c>
      <x:c r="S47" s="2590" t="s">
        <x:v>760</x:v>
      </x:c>
      <x:c r="T47" s="2590" t="s">
        <x:v>761</x:v>
      </x:c>
      <x:c r="U47" s="2590" t="s">
        <x:v>762</x:v>
      </x:c>
      <x:c r="V47" s="2581" t="s">
        <x:v>763</x:v>
      </x:c>
      <x:c r="W47" s="861"/>
      <x:c r="X47" s="1155"/>
    </x:row>
    <x:row r="48" ht="39" customHeight="1">
      <x:c r="A48" s="2801">
        <x:v>45474</x:v>
      </x:c>
      <x:c r="B48" s="2797">
        <x:v>45565</x:v>
      </x:c>
      <x:c r="C48" s="2590" t="s">
        <x:v>131</x:v>
      </x:c>
      <x:c r="D48" s="2590" t="s">
        <x:v>754</x:v>
      </x:c>
      <x:c r="E48" s="2590" t="s">
        <x:v>755</x:v>
      </x:c>
      <x:c r="F48" s="2590" t="s">
        <x:v>535</x:v>
      </x:c>
      <x:c r="G48" s="2590" t="s">
        <x:v>776</x:v>
      </x:c>
      <x:c r="H48" s="2590" t="s">
        <x:v>782</x:v>
      </x:c>
      <x:c r="I48" s="2590" t="s">
        <x:v>783</x:v>
      </x:c>
      <x:c r="J48" s="2590" t="s">
        <x:v>784</x:v>
      </x:c>
      <x:c r="K48" s="2581" t="s">
        <x:v>688</x:v>
      </x:c>
      <x:c r="L48" s="2581" t="s">
        <x:v>793</x:v>
      </x:c>
      <x:c r="M48" s="2581" t="s">
        <x:v>816</x:v>
      </x:c>
      <x:c r="N48" s="2383">
        <x:v>80</x:v>
      </x:c>
      <x:c r="O48" s="2394"/>
      <x:c r="P48" s="2530">
        <x:v>3.7999999999999999E-2</x:v>
      </x:c>
      <x:c r="Q48" s="2590" t="s">
        <x:v>787</x:v>
      </x:c>
      <x:c r="R48" s="2581" t="s">
        <x:v>688</x:v>
      </x:c>
      <x:c r="S48" s="2590" t="s">
        <x:v>760</x:v>
      </x:c>
      <x:c r="T48" s="2590" t="s">
        <x:v>761</x:v>
      </x:c>
      <x:c r="U48" s="2590" t="s">
        <x:v>762</x:v>
      </x:c>
      <x:c r="V48" s="2581" t="s">
        <x:v>763</x:v>
      </x:c>
      <x:c r="W48" s="861"/>
      <x:c r="X48" s="1155"/>
    </x:row>
    <x:row r="49" ht="39" customHeight="1">
      <x:c r="A49" s="2801">
        <x:v>45474</x:v>
      </x:c>
      <x:c r="B49" s="2797">
        <x:v>45565</x:v>
      </x:c>
      <x:c r="C49" s="2590" t="s">
        <x:v>131</x:v>
      </x:c>
      <x:c r="D49" s="2590" t="s">
        <x:v>754</x:v>
      </x:c>
      <x:c r="E49" s="2590" t="s">
        <x:v>755</x:v>
      </x:c>
      <x:c r="F49" s="2590" t="s">
        <x:v>535</x:v>
      </x:c>
      <x:c r="G49" s="2590" t="s">
        <x:v>776</x:v>
      </x:c>
      <x:c r="H49" s="2590" t="s">
        <x:v>782</x:v>
      </x:c>
      <x:c r="I49" s="2590" t="s">
        <x:v>783</x:v>
      </x:c>
      <x:c r="J49" s="2590" t="s">
        <x:v>784</x:v>
      </x:c>
      <x:c r="K49" s="2581" t="s">
        <x:v>694</x:v>
      </x:c>
      <x:c r="L49" s="2581" t="s">
        <x:v>817</x:v>
      </x:c>
      <x:c r="M49" s="2581" t="s">
        <x:v>818</x:v>
      </x:c>
      <x:c r="N49" s="2383">
        <x:v>71</x:v>
      </x:c>
      <x:c r="O49" s="2394"/>
      <x:c r="P49" s="2530">
        <x:v>3.4000000000000002E-2</x:v>
      </x:c>
      <x:c r="Q49" s="2590" t="s">
        <x:v>787</x:v>
      </x:c>
      <x:c r="R49" s="2581" t="s">
        <x:v>694</x:v>
      </x:c>
      <x:c r="S49" s="2590" t="s">
        <x:v>760</x:v>
      </x:c>
      <x:c r="T49" s="2590" t="s">
        <x:v>761</x:v>
      </x:c>
      <x:c r="U49" s="2590" t="s">
        <x:v>762</x:v>
      </x:c>
      <x:c r="V49" s="2581" t="s">
        <x:v>763</x:v>
      </x:c>
      <x:c r="W49" s="861"/>
      <x:c r="X49" s="1155"/>
    </x:row>
    <x:row r="50" ht="39" customHeight="1">
      <x:c r="A50" s="2801">
        <x:v>45474</x:v>
      </x:c>
      <x:c r="B50" s="2797">
        <x:v>45565</x:v>
      </x:c>
      <x:c r="C50" s="2590" t="s">
        <x:v>131</x:v>
      </x:c>
      <x:c r="D50" s="2590" t="s">
        <x:v>754</x:v>
      </x:c>
      <x:c r="E50" s="2590" t="s">
        <x:v>755</x:v>
      </x:c>
      <x:c r="F50" s="2590" t="s">
        <x:v>535</x:v>
      </x:c>
      <x:c r="G50" s="2590" t="s">
        <x:v>776</x:v>
      </x:c>
      <x:c r="H50" s="2590" t="s">
        <x:v>782</x:v>
      </x:c>
      <x:c r="I50" s="2590" t="s">
        <x:v>783</x:v>
      </x:c>
      <x:c r="J50" s="2590" t="s">
        <x:v>784</x:v>
      </x:c>
      <x:c r="K50" s="2581" t="s">
        <x:v>691</x:v>
      </x:c>
      <x:c r="L50" s="2581" t="s">
        <x:v>819</x:v>
      </x:c>
      <x:c r="M50" s="2581" t="s">
        <x:v>820</x:v>
      </x:c>
      <x:c r="N50" s="2383">
        <x:v>71</x:v>
      </x:c>
      <x:c r="O50" s="2394"/>
      <x:c r="P50" s="2530">
        <x:v>3.4000000000000002E-2</x:v>
      </x:c>
      <x:c r="Q50" s="2590" t="s">
        <x:v>787</x:v>
      </x:c>
      <x:c r="R50" s="2581" t="s">
        <x:v>691</x:v>
      </x:c>
      <x:c r="S50" s="2590" t="s">
        <x:v>760</x:v>
      </x:c>
      <x:c r="T50" s="2590" t="s">
        <x:v>761</x:v>
      </x:c>
      <x:c r="U50" s="2590" t="s">
        <x:v>762</x:v>
      </x:c>
      <x:c r="V50" s="2581" t="s">
        <x:v>763</x:v>
      </x:c>
      <x:c r="W50" s="861"/>
      <x:c r="X50" s="1155"/>
    </x:row>
    <x:row r="51" ht="39" customHeight="1">
      <x:c r="A51" s="2801">
        <x:v>45474</x:v>
      </x:c>
      <x:c r="B51" s="2797">
        <x:v>45565</x:v>
      </x:c>
      <x:c r="C51" s="2590" t="s">
        <x:v>131</x:v>
      </x:c>
      <x:c r="D51" s="2590" t="s">
        <x:v>754</x:v>
      </x:c>
      <x:c r="E51" s="2590" t="s">
        <x:v>755</x:v>
      </x:c>
      <x:c r="F51" s="2590" t="s">
        <x:v>535</x:v>
      </x:c>
      <x:c r="G51" s="2590" t="s">
        <x:v>776</x:v>
      </x:c>
      <x:c r="H51" s="2590" t="s">
        <x:v>782</x:v>
      </x:c>
      <x:c r="I51" s="2590" t="s">
        <x:v>783</x:v>
      </x:c>
      <x:c r="J51" s="2590" t="s">
        <x:v>784</x:v>
      </x:c>
      <x:c r="K51" s="2581" t="s">
        <x:v>692</x:v>
      </x:c>
      <x:c r="L51" s="2581" t="s">
        <x:v>821</x:v>
      </x:c>
      <x:c r="M51" s="2581" t="s">
        <x:v>822</x:v>
      </x:c>
      <x:c r="N51" s="2383">
        <x:v>70</x:v>
      </x:c>
      <x:c r="O51" s="2394"/>
      <x:c r="P51" s="2530">
        <x:v>3.3000000000000002E-2</x:v>
      </x:c>
      <x:c r="Q51" s="2590" t="s">
        <x:v>787</x:v>
      </x:c>
      <x:c r="R51" s="2581" t="s">
        <x:v>692</x:v>
      </x:c>
      <x:c r="S51" s="2590" t="s">
        <x:v>760</x:v>
      </x:c>
      <x:c r="T51" s="2590" t="s">
        <x:v>761</x:v>
      </x:c>
      <x:c r="U51" s="2590" t="s">
        <x:v>762</x:v>
      </x:c>
      <x:c r="V51" s="2581" t="s">
        <x:v>763</x:v>
      </x:c>
      <x:c r="W51" s="861"/>
      <x:c r="X51" s="1155"/>
    </x:row>
    <x:row r="52" ht="39" customHeight="1">
      <x:c r="A52" s="2801">
        <x:v>45474</x:v>
      </x:c>
      <x:c r="B52" s="2797">
        <x:v>45565</x:v>
      </x:c>
      <x:c r="C52" s="2590" t="s">
        <x:v>131</x:v>
      </x:c>
      <x:c r="D52" s="2590" t="s">
        <x:v>754</x:v>
      </x:c>
      <x:c r="E52" s="2590" t="s">
        <x:v>755</x:v>
      </x:c>
      <x:c r="F52" s="2590" t="s">
        <x:v>535</x:v>
      </x:c>
      <x:c r="G52" s="2590" t="s">
        <x:v>776</x:v>
      </x:c>
      <x:c r="H52" s="2590" t="s">
        <x:v>782</x:v>
      </x:c>
      <x:c r="I52" s="2590" t="s">
        <x:v>783</x:v>
      </x:c>
      <x:c r="J52" s="2590" t="s">
        <x:v>784</x:v>
      </x:c>
      <x:c r="K52" s="2581" t="s">
        <x:v>663</x:v>
      </x:c>
      <x:c r="L52" s="2581" t="s">
        <x:v>795</x:v>
      </x:c>
      <x:c r="M52" s="2581" t="s">
        <x:v>804</x:v>
      </x:c>
      <x:c r="N52" s="2383">
        <x:v>60</x:v>
      </x:c>
      <x:c r="O52" s="2394"/>
      <x:c r="P52" s="2530">
        <x:v>2.8000000000000001E-2</x:v>
      </x:c>
      <x:c r="Q52" s="2590" t="s">
        <x:v>787</x:v>
      </x:c>
      <x:c r="R52" s="2581" t="s">
        <x:v>663</x:v>
      </x:c>
      <x:c r="S52" s="2590" t="s">
        <x:v>760</x:v>
      </x:c>
      <x:c r="T52" s="2590" t="s">
        <x:v>761</x:v>
      </x:c>
      <x:c r="U52" s="2590" t="s">
        <x:v>762</x:v>
      </x:c>
      <x:c r="V52" s="2581" t="s">
        <x:v>763</x:v>
      </x:c>
      <x:c r="W52" s="861"/>
      <x:c r="X52" s="1155"/>
    </x:row>
    <x:row r="53" ht="39" customHeight="1">
      <x:c r="A53" s="2801">
        <x:v>45474</x:v>
      </x:c>
      <x:c r="B53" s="2797">
        <x:v>45565</x:v>
      </x:c>
      <x:c r="C53" s="2590" t="s">
        <x:v>131</x:v>
      </x:c>
      <x:c r="D53" s="2590" t="s">
        <x:v>754</x:v>
      </x:c>
      <x:c r="E53" s="2590" t="s">
        <x:v>755</x:v>
      </x:c>
      <x:c r="F53" s="2590" t="s">
        <x:v>535</x:v>
      </x:c>
      <x:c r="G53" s="2590" t="s">
        <x:v>776</x:v>
      </x:c>
      <x:c r="H53" s="2590" t="s">
        <x:v>782</x:v>
      </x:c>
      <x:c r="I53" s="2590" t="s">
        <x:v>783</x:v>
      </x:c>
      <x:c r="J53" s="2590" t="s">
        <x:v>784</x:v>
      </x:c>
      <x:c r="K53" s="2581" t="s">
        <x:v>693</x:v>
      </x:c>
      <x:c r="L53" s="2581" t="s">
        <x:v>823</x:v>
      </x:c>
      <x:c r="M53" s="2581" t="s">
        <x:v>824</x:v>
      </x:c>
      <x:c r="N53" s="2383">
        <x:v>59</x:v>
      </x:c>
      <x:c r="O53" s="2394"/>
      <x:c r="P53" s="2530">
        <x:v>2.8000000000000001E-2</x:v>
      </x:c>
      <x:c r="Q53" s="2590" t="s">
        <x:v>787</x:v>
      </x:c>
      <x:c r="R53" s="2581" t="s">
        <x:v>693</x:v>
      </x:c>
      <x:c r="S53" s="2590" t="s">
        <x:v>760</x:v>
      </x:c>
      <x:c r="T53" s="2590" t="s">
        <x:v>761</x:v>
      </x:c>
      <x:c r="U53" s="2590" t="s">
        <x:v>762</x:v>
      </x:c>
      <x:c r="V53" s="2581" t="s">
        <x:v>763</x:v>
      </x:c>
      <x:c r="W53" s="861"/>
      <x:c r="X53" s="1155"/>
    </x:row>
    <x:row r="54" ht="39" customHeight="1">
      <x:c r="A54" s="2801">
        <x:v>45474</x:v>
      </x:c>
      <x:c r="B54" s="2797">
        <x:v>45565</x:v>
      </x:c>
      <x:c r="C54" s="2590" t="s">
        <x:v>131</x:v>
      </x:c>
      <x:c r="D54" s="2590" t="s">
        <x:v>754</x:v>
      </x:c>
      <x:c r="E54" s="2590" t="s">
        <x:v>755</x:v>
      </x:c>
      <x:c r="F54" s="2590" t="s">
        <x:v>535</x:v>
      </x:c>
      <x:c r="G54" s="2590" t="s">
        <x:v>776</x:v>
      </x:c>
      <x:c r="H54" s="2590" t="s">
        <x:v>782</x:v>
      </x:c>
      <x:c r="I54" s="2590" t="s">
        <x:v>783</x:v>
      </x:c>
      <x:c r="J54" s="2590" t="s">
        <x:v>784</x:v>
      </x:c>
      <x:c r="K54" s="2581" t="s">
        <x:v>662</x:v>
      </x:c>
      <x:c r="L54" s="2581" t="s">
        <x:v>788</x:v>
      </x:c>
      <x:c r="M54" s="2581" t="s">
        <x:v>792</x:v>
      </x:c>
      <x:c r="N54" s="2383">
        <x:v>53</x:v>
      </x:c>
      <x:c r="O54" s="2394"/>
      <x:c r="P54" s="2530">
        <x:v>2.5000000000000001E-2</x:v>
      </x:c>
      <x:c r="Q54" s="2590" t="s">
        <x:v>787</x:v>
      </x:c>
      <x:c r="R54" s="2581" t="s">
        <x:v>662</x:v>
      </x:c>
      <x:c r="S54" s="2590" t="s">
        <x:v>760</x:v>
      </x:c>
      <x:c r="T54" s="2590" t="s">
        <x:v>761</x:v>
      </x:c>
      <x:c r="U54" s="2590" t="s">
        <x:v>762</x:v>
      </x:c>
      <x:c r="V54" s="2581" t="s">
        <x:v>763</x:v>
      </x:c>
      <x:c r="W54" s="861"/>
      <x:c r="X54" s="1155"/>
    </x:row>
    <x:row r="55" ht="39" customHeight="1">
      <x:c r="A55" s="2801">
        <x:v>45474</x:v>
      </x:c>
      <x:c r="B55" s="2797">
        <x:v>45565</x:v>
      </x:c>
      <x:c r="C55" s="2590" t="s">
        <x:v>131</x:v>
      </x:c>
      <x:c r="D55" s="2590" t="s">
        <x:v>754</x:v>
      </x:c>
      <x:c r="E55" s="2590" t="s">
        <x:v>755</x:v>
      </x:c>
      <x:c r="F55" s="2590" t="s">
        <x:v>535</x:v>
      </x:c>
      <x:c r="G55" s="2590" t="s">
        <x:v>776</x:v>
      </x:c>
      <x:c r="H55" s="2590" t="s">
        <x:v>782</x:v>
      </x:c>
      <x:c r="I55" s="2590" t="s">
        <x:v>783</x:v>
      </x:c>
      <x:c r="J55" s="2590" t="s">
        <x:v>784</x:v>
      </x:c>
      <x:c r="K55" s="2581" t="s">
        <x:v>661</x:v>
      </x:c>
      <x:c r="L55" s="2581" t="s">
        <x:v>795</x:v>
      </x:c>
      <x:c r="M55" s="2581" t="s">
        <x:v>797</x:v>
      </x:c>
      <x:c r="N55" s="2383">
        <x:v>41</x:v>
      </x:c>
      <x:c r="O55" s="2394"/>
      <x:c r="P55" s="2530">
        <x:v>1.9E-2</x:v>
      </x:c>
      <x:c r="Q55" s="2590" t="s">
        <x:v>787</x:v>
      </x:c>
      <x:c r="R55" s="2581" t="s">
        <x:v>661</x:v>
      </x:c>
      <x:c r="S55" s="2590" t="s">
        <x:v>760</x:v>
      </x:c>
      <x:c r="T55" s="2590" t="s">
        <x:v>761</x:v>
      </x:c>
      <x:c r="U55" s="2590" t="s">
        <x:v>762</x:v>
      </x:c>
      <x:c r="V55" s="2581" t="s">
        <x:v>763</x:v>
      </x:c>
      <x:c r="W55" s="861"/>
      <x:c r="X55" s="1155"/>
    </x:row>
    <x:row r="56" ht="39" customHeight="1">
      <x:c r="A56" s="2801">
        <x:v>45474</x:v>
      </x:c>
      <x:c r="B56" s="2797">
        <x:v>45565</x:v>
      </x:c>
      <x:c r="C56" s="2590" t="s">
        <x:v>131</x:v>
      </x:c>
      <x:c r="D56" s="2590" t="s">
        <x:v>754</x:v>
      </x:c>
      <x:c r="E56" s="2590" t="s">
        <x:v>755</x:v>
      </x:c>
      <x:c r="F56" s="2590" t="s">
        <x:v>535</x:v>
      </x:c>
      <x:c r="G56" s="2590" t="s">
        <x:v>776</x:v>
      </x:c>
      <x:c r="H56" s="2590" t="s">
        <x:v>782</x:v>
      </x:c>
      <x:c r="I56" s="2590" t="s">
        <x:v>783</x:v>
      </x:c>
      <x:c r="J56" s="2590" t="s">
        <x:v>784</x:v>
      </x:c>
      <x:c r="K56" s="2581" t="s">
        <x:v>696</x:v>
      </x:c>
      <x:c r="L56" s="2581" t="s">
        <x:v>819</x:v>
      </x:c>
      <x:c r="M56" s="2581" t="s">
        <x:v>825</x:v>
      </x:c>
      <x:c r="N56" s="2383">
        <x:v>38</x:v>
      </x:c>
      <x:c r="O56" s="2394"/>
      <x:c r="P56" s="2530">
        <x:v>1.7999999999999999E-2</x:v>
      </x:c>
      <x:c r="Q56" s="2590" t="s">
        <x:v>787</x:v>
      </x:c>
      <x:c r="R56" s="2581" t="s">
        <x:v>696</x:v>
      </x:c>
      <x:c r="S56" s="2590" t="s">
        <x:v>760</x:v>
      </x:c>
      <x:c r="T56" s="2590" t="s">
        <x:v>761</x:v>
      </x:c>
      <x:c r="U56" s="2590" t="s">
        <x:v>762</x:v>
      </x:c>
      <x:c r="V56" s="2581" t="s">
        <x:v>763</x:v>
      </x:c>
      <x:c r="W56" s="861"/>
      <x:c r="X56" s="1155"/>
    </x:row>
    <x:row r="57" ht="39" customHeight="1">
      <x:c r="A57" s="2801">
        <x:v>45474</x:v>
      </x:c>
      <x:c r="B57" s="2797">
        <x:v>45565</x:v>
      </x:c>
      <x:c r="C57" s="2590" t="s">
        <x:v>131</x:v>
      </x:c>
      <x:c r="D57" s="2590" t="s">
        <x:v>754</x:v>
      </x:c>
      <x:c r="E57" s="2590" t="s">
        <x:v>755</x:v>
      </x:c>
      <x:c r="F57" s="2590" t="s">
        <x:v>535</x:v>
      </x:c>
      <x:c r="G57" s="2590" t="s">
        <x:v>776</x:v>
      </x:c>
      <x:c r="H57" s="2590" t="s">
        <x:v>782</x:v>
      </x:c>
      <x:c r="I57" s="2590" t="s">
        <x:v>783</x:v>
      </x:c>
      <x:c r="J57" s="2590" t="s">
        <x:v>784</x:v>
      </x:c>
      <x:c r="K57" s="2581" t="s">
        <x:v>826</x:v>
      </x:c>
      <x:c r="L57" s="2581" t="s">
        <x:v>819</x:v>
      </x:c>
      <x:c r="M57" s="2581" t="s">
        <x:v>827</x:v>
      </x:c>
      <x:c r="N57" s="2383">
        <x:v>32</x:v>
      </x:c>
      <x:c r="O57" s="2394"/>
      <x:c r="P57" s="2530">
        <x:v>1.4999999999999999E-2</x:v>
      </x:c>
      <x:c r="Q57" s="2590" t="s">
        <x:v>787</x:v>
      </x:c>
      <x:c r="R57" s="2581" t="s">
        <x:v>826</x:v>
      </x:c>
      <x:c r="S57" s="2590" t="s">
        <x:v>760</x:v>
      </x:c>
      <x:c r="T57" s="2590" t="s">
        <x:v>761</x:v>
      </x:c>
      <x:c r="U57" s="2590" t="s">
        <x:v>762</x:v>
      </x:c>
      <x:c r="V57" s="2581" t="s">
        <x:v>763</x:v>
      </x:c>
      <x:c r="W57" s="861"/>
      <x:c r="X57" s="1155"/>
    </x:row>
    <x:row r="58" ht="39" customHeight="1">
      <x:c r="A58" s="2801">
        <x:v>45474</x:v>
      </x:c>
      <x:c r="B58" s="2797">
        <x:v>45565</x:v>
      </x:c>
      <x:c r="C58" s="2590" t="s">
        <x:v>131</x:v>
      </x:c>
      <x:c r="D58" s="2590" t="s">
        <x:v>754</x:v>
      </x:c>
      <x:c r="E58" s="2590" t="s">
        <x:v>755</x:v>
      </x:c>
      <x:c r="F58" s="2590" t="s">
        <x:v>535</x:v>
      </x:c>
      <x:c r="G58" s="2590" t="s">
        <x:v>776</x:v>
      </x:c>
      <x:c r="H58" s="2590" t="s">
        <x:v>782</x:v>
      </x:c>
      <x:c r="I58" s="2590" t="s">
        <x:v>783</x:v>
      </x:c>
      <x:c r="J58" s="2590" t="s">
        <x:v>784</x:v>
      </x:c>
      <x:c r="K58" s="2581" t="s">
        <x:v>697</x:v>
      </x:c>
      <x:c r="L58" s="2581" t="s">
        <x:v>795</x:v>
      </x:c>
      <x:c r="M58" s="2581" t="s">
        <x:v>828</x:v>
      </x:c>
      <x:c r="N58" s="2383">
        <x:v>30</x:v>
      </x:c>
      <x:c r="O58" s="2394"/>
      <x:c r="P58" s="2530">
        <x:v>1.4E-2</x:v>
      </x:c>
      <x:c r="Q58" s="2590" t="s">
        <x:v>787</x:v>
      </x:c>
      <x:c r="R58" s="2581" t="s">
        <x:v>697</x:v>
      </x:c>
      <x:c r="S58" s="2590" t="s">
        <x:v>760</x:v>
      </x:c>
      <x:c r="T58" s="2590" t="s">
        <x:v>761</x:v>
      </x:c>
      <x:c r="U58" s="2590" t="s">
        <x:v>762</x:v>
      </x:c>
      <x:c r="V58" s="2581" t="s">
        <x:v>763</x:v>
      </x:c>
      <x:c r="W58" s="861"/>
      <x:c r="X58" s="1155"/>
    </x:row>
    <x:row r="59" ht="39" customHeight="1">
      <x:c r="A59" s="2801">
        <x:v>45566</x:v>
      </x:c>
      <x:c r="B59" s="2797">
        <x:v>45657</x:v>
      </x:c>
      <x:c r="C59" s="2590" t="s">
        <x:v>131</x:v>
      </x:c>
      <x:c r="D59" s="2590" t="s">
        <x:v>829</x:v>
      </x:c>
      <x:c r="E59" s="2590" t="s">
        <x:v>830</x:v>
      </x:c>
      <x:c r="F59" s="2590" t="s">
        <x:v>535</x:v>
      </x:c>
      <x:c r="G59" s="2590" t="s">
        <x:v>62</x:v>
      </x:c>
      <x:c r="H59" s="2590" t="s">
        <x:v>756</x:v>
      </x:c>
      <x:c r="I59" s="2590" t="s">
        <x:v>757</x:v>
      </x:c>
      <x:c r="J59" s="2590" t="s">
        <x:v>758</x:v>
      </x:c>
      <x:c r="K59" s="2581" t="s">
        <x:v>759</x:v>
      </x:c>
      <x:c r="L59" s="2818"/>
      <x:c r="M59" s="2818"/>
      <x:c r="N59" s="2383">
        <x:v>1451</x:v>
      </x:c>
      <x:c r="O59" s="2394"/>
      <x:c r="P59" s="2530"/>
      <x:c r="Q59" s="2590" t="s">
        <x:v>320</x:v>
      </x:c>
      <x:c r="R59" s="2581" t="s">
        <x:v>757</x:v>
      </x:c>
      <x:c r="S59" s="2590" t="s">
        <x:v>760</x:v>
      </x:c>
      <x:c r="T59" s="2590" t="s">
        <x:v>831</x:v>
      </x:c>
      <x:c r="U59" s="2590" t="s">
        <x:v>762</x:v>
      </x:c>
      <x:c r="V59" s="2581" t="s">
        <x:v>763</x:v>
      </x:c>
      <x:c r="W59" s="861"/>
      <x:c r="X59" s="1155"/>
    </x:row>
    <x:row r="60" ht="39" customHeight="1">
      <x:c r="A60" s="2801">
        <x:v>45566</x:v>
      </x:c>
      <x:c r="B60" s="2797">
        <x:v>45657</x:v>
      </x:c>
      <x:c r="C60" s="2590" t="s">
        <x:v>131</x:v>
      </x:c>
      <x:c r="D60" s="2590" t="s">
        <x:v>829</x:v>
      </x:c>
      <x:c r="E60" s="2590" t="s">
        <x:v>830</x:v>
      </x:c>
      <x:c r="F60" s="2590" t="s">
        <x:v>535</x:v>
      </x:c>
      <x:c r="G60" s="2590" t="s">
        <x:v>62</x:v>
      </x:c>
      <x:c r="H60" s="2590" t="s">
        <x:v>764</x:v>
      </x:c>
      <x:c r="I60" s="2590" t="s">
        <x:v>765</x:v>
      </x:c>
      <x:c r="J60" s="2590" t="s">
        <x:v>758</x:v>
      </x:c>
      <x:c r="K60" s="2581" t="s">
        <x:v>759</x:v>
      </x:c>
      <x:c r="L60" s="2818"/>
      <x:c r="M60" s="2818"/>
      <x:c r="N60" s="2383"/>
      <x:c r="O60" s="2394">
        <x:v>0.8</x:v>
      </x:c>
      <x:c r="P60" s="2530"/>
      <x:c r="Q60" s="2590" t="s">
        <x:v>766</x:v>
      </x:c>
      <x:c r="R60" s="2581" t="s">
        <x:v>767</x:v>
      </x:c>
      <x:c r="S60" s="2590" t="s">
        <x:v>760</x:v>
      </x:c>
      <x:c r="T60" s="2590" t="s">
        <x:v>831</x:v>
      </x:c>
      <x:c r="U60" s="2590" t="s">
        <x:v>762</x:v>
      </x:c>
      <x:c r="V60" s="2581" t="s">
        <x:v>763</x:v>
      </x:c>
      <x:c r="W60" s="861"/>
      <x:c r="X60" s="1155"/>
    </x:row>
    <x:row r="61" ht="39" customHeight="1">
      <x:c r="A61" s="2801">
        <x:v>45566</x:v>
      </x:c>
      <x:c r="B61" s="2797">
        <x:v>45657</x:v>
      </x:c>
      <x:c r="C61" s="2590" t="s">
        <x:v>131</x:v>
      </x:c>
      <x:c r="D61" s="2590" t="s">
        <x:v>829</x:v>
      </x:c>
      <x:c r="E61" s="2590" t="s">
        <x:v>830</x:v>
      </x:c>
      <x:c r="F61" s="2590" t="s">
        <x:v>535</x:v>
      </x:c>
      <x:c r="G61" s="2590" t="s">
        <x:v>768</x:v>
      </x:c>
      <x:c r="H61" s="2590" t="s">
        <x:v>756</x:v>
      </x:c>
      <x:c r="I61" s="2590" t="s">
        <x:v>757</x:v>
      </x:c>
      <x:c r="J61" s="2590" t="s">
        <x:v>769</x:v>
      </x:c>
      <x:c r="K61" s="2581" t="s">
        <x:v>70</x:v>
      </x:c>
      <x:c r="L61" s="2818"/>
      <x:c r="M61" s="2818"/>
      <x:c r="N61" s="2383">
        <x:v>888</x:v>
      </x:c>
      <x:c r="O61" s="2394"/>
      <x:c r="P61" s="2530"/>
      <x:c r="Q61" s="2590" t="s">
        <x:v>320</x:v>
      </x:c>
      <x:c r="R61" s="2581" t="s">
        <x:v>770</x:v>
      </x:c>
      <x:c r="S61" s="2590" t="s">
        <x:v>760</x:v>
      </x:c>
      <x:c r="T61" s="2590" t="s">
        <x:v>831</x:v>
      </x:c>
      <x:c r="U61" s="2590" t="s">
        <x:v>762</x:v>
      </x:c>
      <x:c r="V61" s="2581" t="s">
        <x:v>763</x:v>
      </x:c>
      <x:c r="W61" s="861"/>
      <x:c r="X61" s="1155"/>
    </x:row>
    <x:row r="62" ht="39" customHeight="1">
      <x:c r="A62" s="2801">
        <x:v>45566</x:v>
      </x:c>
      <x:c r="B62" s="2797">
        <x:v>45657</x:v>
      </x:c>
      <x:c r="C62" s="2590" t="s">
        <x:v>131</x:v>
      </x:c>
      <x:c r="D62" s="2590" t="s">
        <x:v>829</x:v>
      </x:c>
      <x:c r="E62" s="2590" t="s">
        <x:v>830</x:v>
      </x:c>
      <x:c r="F62" s="2590" t="s">
        <x:v>535</x:v>
      </x:c>
      <x:c r="G62" s="2590" t="s">
        <x:v>768</x:v>
      </x:c>
      <x:c r="H62" s="2590" t="s">
        <x:v>764</x:v>
      </x:c>
      <x:c r="I62" s="2590" t="s">
        <x:v>765</x:v>
      </x:c>
      <x:c r="J62" s="2590" t="s">
        <x:v>769</x:v>
      </x:c>
      <x:c r="K62" s="2581" t="s">
        <x:v>70</x:v>
      </x:c>
      <x:c r="L62" s="2818"/>
      <x:c r="M62" s="2818"/>
      <x:c r="N62" s="2383"/>
      <x:c r="O62" s="2394">
        <x:v>31.3</x:v>
      </x:c>
      <x:c r="P62" s="2530"/>
      <x:c r="Q62" s="2590" t="s">
        <x:v>771</x:v>
      </x:c>
      <x:c r="R62" s="2581" t="s">
        <x:v>772</x:v>
      </x:c>
      <x:c r="S62" s="2590" t="s">
        <x:v>760</x:v>
      </x:c>
      <x:c r="T62" s="2590" t="s">
        <x:v>831</x:v>
      </x:c>
      <x:c r="U62" s="2590" t="s">
        <x:v>762</x:v>
      </x:c>
      <x:c r="V62" s="2581" t="s">
        <x:v>763</x:v>
      </x:c>
      <x:c r="W62" s="861"/>
      <x:c r="X62" s="1155"/>
    </x:row>
    <x:row r="63" ht="39" customHeight="1">
      <x:c r="A63" s="2801">
        <x:v>45566</x:v>
      </x:c>
      <x:c r="B63" s="2797">
        <x:v>45657</x:v>
      </x:c>
      <x:c r="C63" s="2590" t="s">
        <x:v>131</x:v>
      </x:c>
      <x:c r="D63" s="2590" t="s">
        <x:v>829</x:v>
      </x:c>
      <x:c r="E63" s="2590" t="s">
        <x:v>830</x:v>
      </x:c>
      <x:c r="F63" s="2590" t="s">
        <x:v>535</x:v>
      </x:c>
      <x:c r="G63" s="2590" t="s">
        <x:v>773</x:v>
      </x:c>
      <x:c r="H63" s="2590" t="s">
        <x:v>756</x:v>
      </x:c>
      <x:c r="I63" s="2590" t="s">
        <x:v>757</x:v>
      </x:c>
      <x:c r="J63" s="2590" t="s">
        <x:v>769</x:v>
      </x:c>
      <x:c r="K63" s="2581" t="s">
        <x:v>77</x:v>
      </x:c>
      <x:c r="L63" s="2818"/>
      <x:c r="M63" s="2818"/>
      <x:c r="N63" s="2383">
        <x:v>116</x:v>
      </x:c>
      <x:c r="O63" s="2394"/>
      <x:c r="P63" s="2530"/>
      <x:c r="Q63" s="2590" t="s">
        <x:v>320</x:v>
      </x:c>
      <x:c r="R63" s="2581" t="s">
        <x:v>774</x:v>
      </x:c>
      <x:c r="S63" s="2590" t="s">
        <x:v>760</x:v>
      </x:c>
      <x:c r="T63" s="2590" t="s">
        <x:v>831</x:v>
      </x:c>
      <x:c r="U63" s="2590" t="s">
        <x:v>762</x:v>
      </x:c>
      <x:c r="V63" s="2581" t="s">
        <x:v>763</x:v>
      </x:c>
      <x:c r="W63" s="861"/>
      <x:c r="X63" s="1155"/>
    </x:row>
    <x:row r="64" ht="39" customHeight="1">
      <x:c r="A64" s="2801">
        <x:v>45566</x:v>
      </x:c>
      <x:c r="B64" s="2797">
        <x:v>45657</x:v>
      </x:c>
      <x:c r="C64" s="2590" t="s">
        <x:v>131</x:v>
      </x:c>
      <x:c r="D64" s="2590" t="s">
        <x:v>829</x:v>
      </x:c>
      <x:c r="E64" s="2590" t="s">
        <x:v>830</x:v>
      </x:c>
      <x:c r="F64" s="2590" t="s">
        <x:v>535</x:v>
      </x:c>
      <x:c r="G64" s="2590" t="s">
        <x:v>773</x:v>
      </x:c>
      <x:c r="H64" s="2590" t="s">
        <x:v>764</x:v>
      </x:c>
      <x:c r="I64" s="2590" t="s">
        <x:v>765</x:v>
      </x:c>
      <x:c r="J64" s="2590" t="s">
        <x:v>769</x:v>
      </x:c>
      <x:c r="K64" s="2581" t="s">
        <x:v>77</x:v>
      </x:c>
      <x:c r="L64" s="2818"/>
      <x:c r="M64" s="2818"/>
      <x:c r="N64" s="2383"/>
      <x:c r="O64" s="2394">
        <x:v>1.4</x:v>
      </x:c>
      <x:c r="P64" s="2530"/>
      <x:c r="Q64" s="2590" t="s">
        <x:v>771</x:v>
      </x:c>
      <x:c r="R64" s="2581" t="s">
        <x:v>775</x:v>
      </x:c>
      <x:c r="S64" s="2590" t="s">
        <x:v>760</x:v>
      </x:c>
      <x:c r="T64" s="2590" t="s">
        <x:v>831</x:v>
      </x:c>
      <x:c r="U64" s="2590" t="s">
        <x:v>762</x:v>
      </x:c>
      <x:c r="V64" s="2581" t="s">
        <x:v>763</x:v>
      </x:c>
      <x:c r="W64" s="861"/>
      <x:c r="X64" s="1155"/>
    </x:row>
    <x:row r="65" ht="39" customHeight="1">
      <x:c r="A65" s="2801">
        <x:v>45566</x:v>
      </x:c>
      <x:c r="B65" s="2797">
        <x:v>45657</x:v>
      </x:c>
      <x:c r="C65" s="2590" t="s">
        <x:v>131</x:v>
      </x:c>
      <x:c r="D65" s="2590" t="s">
        <x:v>829</x:v>
      </x:c>
      <x:c r="E65" s="2590" t="s">
        <x:v>830</x:v>
      </x:c>
      <x:c r="F65" s="2590" t="s">
        <x:v>535</x:v>
      </x:c>
      <x:c r="G65" s="2590" t="s">
        <x:v>776</x:v>
      </x:c>
      <x:c r="H65" s="2590" t="s">
        <x:v>756</x:v>
      </x:c>
      <x:c r="I65" s="2590" t="s">
        <x:v>757</x:v>
      </x:c>
      <x:c r="J65" s="2590" t="s">
        <x:v>758</x:v>
      </x:c>
      <x:c r="K65" s="2581" t="s">
        <x:v>777</x:v>
      </x:c>
      <x:c r="L65" s="2818"/>
      <x:c r="M65" s="2818"/>
      <x:c r="N65" s="2383">
        <x:v>1004</x:v>
      </x:c>
      <x:c r="O65" s="2394"/>
      <x:c r="P65" s="2530"/>
      <x:c r="Q65" s="2590" t="s">
        <x:v>320</x:v>
      </x:c>
      <x:c r="R65" s="2581" t="s">
        <x:v>778</x:v>
      </x:c>
      <x:c r="S65" s="2590" t="s">
        <x:v>760</x:v>
      </x:c>
      <x:c r="T65" s="2590" t="s">
        <x:v>831</x:v>
      </x:c>
      <x:c r="U65" s="2590" t="s">
        <x:v>762</x:v>
      </x:c>
      <x:c r="V65" s="2581" t="s">
        <x:v>763</x:v>
      </x:c>
      <x:c r="W65" s="861"/>
      <x:c r="X65" s="1155"/>
    </x:row>
    <x:row r="66" ht="39" customHeight="1">
      <x:c r="A66" s="2801">
        <x:v>45566</x:v>
      </x:c>
      <x:c r="B66" s="2797">
        <x:v>45657</x:v>
      </x:c>
      <x:c r="C66" s="2590" t="s">
        <x:v>131</x:v>
      </x:c>
      <x:c r="D66" s="2590" t="s">
        <x:v>829</x:v>
      </x:c>
      <x:c r="E66" s="2590" t="s">
        <x:v>830</x:v>
      </x:c>
      <x:c r="F66" s="2590" t="s">
        <x:v>535</x:v>
      </x:c>
      <x:c r="G66" s="2590" t="s">
        <x:v>62</x:v>
      </x:c>
      <x:c r="H66" s="2590" t="s">
        <x:v>756</x:v>
      </x:c>
      <x:c r="I66" s="2590" t="s">
        <x:v>779</x:v>
      </x:c>
      <x:c r="J66" s="2590" t="s">
        <x:v>780</x:v>
      </x:c>
      <x:c r="K66" s="2581" t="s">
        <x:v>647</x:v>
      </x:c>
      <x:c r="L66" s="2818"/>
      <x:c r="M66" s="2818"/>
      <x:c r="N66" s="2383">
        <x:v>729</x:v>
      </x:c>
      <x:c r="O66" s="2394"/>
      <x:c r="P66" s="2530"/>
      <x:c r="Q66" s="2590" t="s">
        <x:v>320</x:v>
      </x:c>
      <x:c r="R66" s="2581" t="s">
        <x:v>647</x:v>
      </x:c>
      <x:c r="S66" s="2590" t="s">
        <x:v>760</x:v>
      </x:c>
      <x:c r="T66" s="2590" t="s">
        <x:v>831</x:v>
      </x:c>
      <x:c r="U66" s="2590" t="s">
        <x:v>762</x:v>
      </x:c>
      <x:c r="V66" s="2581" t="s">
        <x:v>763</x:v>
      </x:c>
      <x:c r="W66" s="861"/>
      <x:c r="X66" s="1155"/>
    </x:row>
    <x:row r="67" ht="39" customHeight="1">
      <x:c r="A67" s="2801">
        <x:v>45566</x:v>
      </x:c>
      <x:c r="B67" s="2797">
        <x:v>45657</x:v>
      </x:c>
      <x:c r="C67" s="2590" t="s">
        <x:v>131</x:v>
      </x:c>
      <x:c r="D67" s="2590" t="s">
        <x:v>829</x:v>
      </x:c>
      <x:c r="E67" s="2590" t="s">
        <x:v>830</x:v>
      </x:c>
      <x:c r="F67" s="2590" t="s">
        <x:v>535</x:v>
      </x:c>
      <x:c r="G67" s="2590" t="s">
        <x:v>62</x:v>
      </x:c>
      <x:c r="H67" s="2590" t="s">
        <x:v>756</x:v>
      </x:c>
      <x:c r="I67" s="2590" t="s">
        <x:v>779</x:v>
      </x:c>
      <x:c r="J67" s="2590" t="s">
        <x:v>780</x:v>
      </x:c>
      <x:c r="K67" s="2581" t="s">
        <x:v>648</x:v>
      </x:c>
      <x:c r="L67" s="2818"/>
      <x:c r="M67" s="2818"/>
      <x:c r="N67" s="2383">
        <x:v>423</x:v>
      </x:c>
      <x:c r="O67" s="2394"/>
      <x:c r="P67" s="2530"/>
      <x:c r="Q67" s="2590" t="s">
        <x:v>320</x:v>
      </x:c>
      <x:c r="R67" s="2581" t="s">
        <x:v>648</x:v>
      </x:c>
      <x:c r="S67" s="2590" t="s">
        <x:v>760</x:v>
      </x:c>
      <x:c r="T67" s="2590" t="s">
        <x:v>831</x:v>
      </x:c>
      <x:c r="U67" s="2590" t="s">
        <x:v>762</x:v>
      </x:c>
      <x:c r="V67" s="2581" t="s">
        <x:v>763</x:v>
      </x:c>
      <x:c r="W67" s="861"/>
      <x:c r="X67" s="1155"/>
    </x:row>
    <x:row r="68" ht="39" customHeight="1">
      <x:c r="A68" s="2801">
        <x:v>45566</x:v>
      </x:c>
      <x:c r="B68" s="2797">
        <x:v>45657</x:v>
      </x:c>
      <x:c r="C68" s="2590" t="s">
        <x:v>131</x:v>
      </x:c>
      <x:c r="D68" s="2590" t="s">
        <x:v>829</x:v>
      </x:c>
      <x:c r="E68" s="2590" t="s">
        <x:v>830</x:v>
      </x:c>
      <x:c r="F68" s="2590" t="s">
        <x:v>535</x:v>
      </x:c>
      <x:c r="G68" s="2590" t="s">
        <x:v>62</x:v>
      </x:c>
      <x:c r="H68" s="2590" t="s">
        <x:v>756</x:v>
      </x:c>
      <x:c r="I68" s="2590" t="s">
        <x:v>779</x:v>
      </x:c>
      <x:c r="J68" s="2590" t="s">
        <x:v>780</x:v>
      </x:c>
      <x:c r="K68" s="2581" t="s">
        <x:v>781</x:v>
      </x:c>
      <x:c r="L68" s="2818"/>
      <x:c r="M68" s="2818"/>
      <x:c r="N68" s="2383">
        <x:v>191</x:v>
      </x:c>
      <x:c r="O68" s="2394"/>
      <x:c r="P68" s="2530"/>
      <x:c r="Q68" s="2590" t="s">
        <x:v>320</x:v>
      </x:c>
      <x:c r="R68" s="2581" t="s">
        <x:v>649</x:v>
      </x:c>
      <x:c r="S68" s="2590" t="s">
        <x:v>760</x:v>
      </x:c>
      <x:c r="T68" s="2590" t="s">
        <x:v>831</x:v>
      </x:c>
      <x:c r="U68" s="2590" t="s">
        <x:v>762</x:v>
      </x:c>
      <x:c r="V68" s="2581" t="s">
        <x:v>763</x:v>
      </x:c>
      <x:c r="W68" s="861"/>
      <x:c r="X68" s="1155"/>
    </x:row>
    <x:row r="69" ht="39" customHeight="1">
      <x:c r="A69" s="2801">
        <x:v>45566</x:v>
      </x:c>
      <x:c r="B69" s="2797">
        <x:v>45657</x:v>
      </x:c>
      <x:c r="C69" s="2590" t="s">
        <x:v>131</x:v>
      </x:c>
      <x:c r="D69" s="2590" t="s">
        <x:v>829</x:v>
      </x:c>
      <x:c r="E69" s="2590" t="s">
        <x:v>830</x:v>
      </x:c>
      <x:c r="F69" s="2590" t="s">
        <x:v>535</x:v>
      </x:c>
      <x:c r="G69" s="2590" t="s">
        <x:v>62</x:v>
      </x:c>
      <x:c r="H69" s="2590" t="s">
        <x:v>756</x:v>
      </x:c>
      <x:c r="I69" s="2590" t="s">
        <x:v>779</x:v>
      </x:c>
      <x:c r="J69" s="2590" t="s">
        <x:v>780</x:v>
      </x:c>
      <x:c r="K69" s="2581" t="s">
        <x:v>650</x:v>
      </x:c>
      <x:c r="L69" s="2818"/>
      <x:c r="M69" s="2818"/>
      <x:c r="N69" s="2383">
        <x:v>108</x:v>
      </x:c>
      <x:c r="O69" s="2394"/>
      <x:c r="P69" s="2530"/>
      <x:c r="Q69" s="2590" t="s">
        <x:v>320</x:v>
      </x:c>
      <x:c r="R69" s="2581" t="s">
        <x:v>650</x:v>
      </x:c>
      <x:c r="S69" s="2590" t="s">
        <x:v>760</x:v>
      </x:c>
      <x:c r="T69" s="2590" t="s">
        <x:v>831</x:v>
      </x:c>
      <x:c r="U69" s="2590" t="s">
        <x:v>762</x:v>
      </x:c>
      <x:c r="V69" s="2581" t="s">
        <x:v>763</x:v>
      </x:c>
      <x:c r="W69" s="861"/>
      <x:c r="X69" s="1155"/>
    </x:row>
    <x:row r="70" ht="39" customHeight="1">
      <x:c r="A70" s="2801">
        <x:v>45566</x:v>
      </x:c>
      <x:c r="B70" s="2797">
        <x:v>45657</x:v>
      </x:c>
      <x:c r="C70" s="2590" t="s">
        <x:v>131</x:v>
      </x:c>
      <x:c r="D70" s="2590" t="s">
        <x:v>829</x:v>
      </x:c>
      <x:c r="E70" s="2590" t="s">
        <x:v>830</x:v>
      </x:c>
      <x:c r="F70" s="2590" t="s">
        <x:v>535</x:v>
      </x:c>
      <x:c r="G70" s="2590" t="s">
        <x:v>776</x:v>
      </x:c>
      <x:c r="H70" s="2590" t="s">
        <x:v>756</x:v>
      </x:c>
      <x:c r="I70" s="2590" t="s">
        <x:v>779</x:v>
      </x:c>
      <x:c r="J70" s="2590" t="s">
        <x:v>780</x:v>
      </x:c>
      <x:c r="K70" s="2581" t="s">
        <x:v>650</x:v>
      </x:c>
      <x:c r="L70" s="2818"/>
      <x:c r="M70" s="2818"/>
      <x:c r="N70" s="2383">
        <x:v>482</x:v>
      </x:c>
      <x:c r="O70" s="2394"/>
      <x:c r="P70" s="2530"/>
      <x:c r="Q70" s="2590" t="s">
        <x:v>320</x:v>
      </x:c>
      <x:c r="R70" s="2581" t="s">
        <x:v>650</x:v>
      </x:c>
      <x:c r="S70" s="2590" t="s">
        <x:v>760</x:v>
      </x:c>
      <x:c r="T70" s="2590" t="s">
        <x:v>831</x:v>
      </x:c>
      <x:c r="U70" s="2590" t="s">
        <x:v>762</x:v>
      </x:c>
      <x:c r="V70" s="2581" t="s">
        <x:v>763</x:v>
      </x:c>
      <x:c r="W70" s="861"/>
      <x:c r="X70" s="1155"/>
    </x:row>
    <x:row r="71" ht="39" customHeight="1">
      <x:c r="A71" s="2801">
        <x:v>45566</x:v>
      </x:c>
      <x:c r="B71" s="2797">
        <x:v>45657</x:v>
      </x:c>
      <x:c r="C71" s="2590" t="s">
        <x:v>131</x:v>
      </x:c>
      <x:c r="D71" s="2590" t="s">
        <x:v>829</x:v>
      </x:c>
      <x:c r="E71" s="2590" t="s">
        <x:v>830</x:v>
      </x:c>
      <x:c r="F71" s="2590" t="s">
        <x:v>535</x:v>
      </x:c>
      <x:c r="G71" s="2590" t="s">
        <x:v>776</x:v>
      </x:c>
      <x:c r="H71" s="2590" t="s">
        <x:v>756</x:v>
      </x:c>
      <x:c r="I71" s="2590" t="s">
        <x:v>779</x:v>
      </x:c>
      <x:c r="J71" s="2590" t="s">
        <x:v>780</x:v>
      </x:c>
      <x:c r="K71" s="2581" t="s">
        <x:v>647</x:v>
      </x:c>
      <x:c r="L71" s="2818"/>
      <x:c r="M71" s="2818"/>
      <x:c r="N71" s="2383">
        <x:v>408</x:v>
      </x:c>
      <x:c r="O71" s="2394"/>
      <x:c r="P71" s="2530"/>
      <x:c r="Q71" s="2590" t="s">
        <x:v>320</x:v>
      </x:c>
      <x:c r="R71" s="2581" t="s">
        <x:v>647</x:v>
      </x:c>
      <x:c r="S71" s="2590" t="s">
        <x:v>760</x:v>
      </x:c>
      <x:c r="T71" s="2590" t="s">
        <x:v>831</x:v>
      </x:c>
      <x:c r="U71" s="2590" t="s">
        <x:v>762</x:v>
      </x:c>
      <x:c r="V71" s="2581" t="s">
        <x:v>763</x:v>
      </x:c>
      <x:c r="W71" s="861"/>
      <x:c r="X71" s="1155"/>
    </x:row>
    <x:row r="72" ht="39" customHeight="1">
      <x:c r="A72" s="2801">
        <x:v>45566</x:v>
      </x:c>
      <x:c r="B72" s="2797">
        <x:v>45657</x:v>
      </x:c>
      <x:c r="C72" s="2590" t="s">
        <x:v>131</x:v>
      </x:c>
      <x:c r="D72" s="2590" t="s">
        <x:v>829</x:v>
      </x:c>
      <x:c r="E72" s="2590" t="s">
        <x:v>830</x:v>
      </x:c>
      <x:c r="F72" s="2590" t="s">
        <x:v>535</x:v>
      </x:c>
      <x:c r="G72" s="2590" t="s">
        <x:v>776</x:v>
      </x:c>
      <x:c r="H72" s="2590" t="s">
        <x:v>756</x:v>
      </x:c>
      <x:c r="I72" s="2590" t="s">
        <x:v>779</x:v>
      </x:c>
      <x:c r="J72" s="2590" t="s">
        <x:v>780</x:v>
      </x:c>
      <x:c r="K72" s="2581" t="s">
        <x:v>781</x:v>
      </x:c>
      <x:c r="L72" s="2818"/>
      <x:c r="M72" s="2818"/>
      <x:c r="N72" s="2383">
        <x:v>60</x:v>
      </x:c>
      <x:c r="O72" s="2394"/>
      <x:c r="P72" s="2530"/>
      <x:c r="Q72" s="2590" t="s">
        <x:v>320</x:v>
      </x:c>
      <x:c r="R72" s="2581" t="s">
        <x:v>649</x:v>
      </x:c>
      <x:c r="S72" s="2590" t="s">
        <x:v>760</x:v>
      </x:c>
      <x:c r="T72" s="2590" t="s">
        <x:v>831</x:v>
      </x:c>
      <x:c r="U72" s="2590" t="s">
        <x:v>762</x:v>
      </x:c>
      <x:c r="V72" s="2581" t="s">
        <x:v>763</x:v>
      </x:c>
      <x:c r="W72" s="861"/>
      <x:c r="X72" s="1155"/>
    </x:row>
    <x:row r="73" ht="39" customHeight="1">
      <x:c r="A73" s="2801">
        <x:v>45566</x:v>
      </x:c>
      <x:c r="B73" s="2797">
        <x:v>45657</x:v>
      </x:c>
      <x:c r="C73" s="2590" t="s">
        <x:v>131</x:v>
      </x:c>
      <x:c r="D73" s="2590" t="s">
        <x:v>829</x:v>
      </x:c>
      <x:c r="E73" s="2590" t="s">
        <x:v>830</x:v>
      </x:c>
      <x:c r="F73" s="2590" t="s">
        <x:v>535</x:v>
      </x:c>
      <x:c r="G73" s="2590" t="s">
        <x:v>776</x:v>
      </x:c>
      <x:c r="H73" s="2590" t="s">
        <x:v>756</x:v>
      </x:c>
      <x:c r="I73" s="2590" t="s">
        <x:v>779</x:v>
      </x:c>
      <x:c r="J73" s="2590" t="s">
        <x:v>780</x:v>
      </x:c>
      <x:c r="K73" s="2581" t="s">
        <x:v>648</x:v>
      </x:c>
      <x:c r="L73" s="2818"/>
      <x:c r="M73" s="2818"/>
      <x:c r="N73" s="2383">
        <x:v>54</x:v>
      </x:c>
      <x:c r="O73" s="2394"/>
      <x:c r="P73" s="2530"/>
      <x:c r="Q73" s="2590" t="s">
        <x:v>320</x:v>
      </x:c>
      <x:c r="R73" s="2581" t="s">
        <x:v>648</x:v>
      </x:c>
      <x:c r="S73" s="2590" t="s">
        <x:v>760</x:v>
      </x:c>
      <x:c r="T73" s="2590" t="s">
        <x:v>831</x:v>
      </x:c>
      <x:c r="U73" s="2590" t="s">
        <x:v>762</x:v>
      </x:c>
      <x:c r="V73" s="2581" t="s">
        <x:v>763</x:v>
      </x:c>
      <x:c r="W73" s="861"/>
      <x:c r="X73" s="1155"/>
    </x:row>
    <x:row r="74" ht="39" customHeight="1">
      <x:c r="A74" s="2801">
        <x:v>45566</x:v>
      </x:c>
      <x:c r="B74" s="2797">
        <x:v>45657</x:v>
      </x:c>
      <x:c r="C74" s="2590" t="s">
        <x:v>131</x:v>
      </x:c>
      <x:c r="D74" s="2590" t="s">
        <x:v>829</x:v>
      </x:c>
      <x:c r="E74" s="2590" t="s">
        <x:v>830</x:v>
      </x:c>
      <x:c r="F74" s="2590" t="s">
        <x:v>535</x:v>
      </x:c>
      <x:c r="G74" s="2590" t="s">
        <x:v>62</x:v>
      </x:c>
      <x:c r="H74" s="2590" t="s">
        <x:v>782</x:v>
      </x:c>
      <x:c r="I74" s="2590" t="s">
        <x:v>783</x:v>
      </x:c>
      <x:c r="J74" s="2590" t="s">
        <x:v>784</x:v>
      </x:c>
      <x:c r="K74" s="2581" t="s">
        <x:v>655</x:v>
      </x:c>
      <x:c r="L74" s="2581" t="s">
        <x:v>785</x:v>
      </x:c>
      <x:c r="M74" s="2581" t="s">
        <x:v>786</x:v>
      </x:c>
      <x:c r="N74" s="2383">
        <x:v>191</x:v>
      </x:c>
      <x:c r="O74" s="2394"/>
      <x:c r="P74" s="2530">
        <x:v>5.2999999999999999E-2</x:v>
      </x:c>
      <x:c r="Q74" s="2590" t="s">
        <x:v>787</x:v>
      </x:c>
      <x:c r="R74" s="2581" t="s">
        <x:v>655</x:v>
      </x:c>
      <x:c r="S74" s="2590" t="s">
        <x:v>760</x:v>
      </x:c>
      <x:c r="T74" s="2590" t="s">
        <x:v>831</x:v>
      </x:c>
      <x:c r="U74" s="2590" t="s">
        <x:v>762</x:v>
      </x:c>
      <x:c r="V74" s="2581" t="s">
        <x:v>763</x:v>
      </x:c>
      <x:c r="W74" s="861"/>
      <x:c r="X74" s="1155"/>
    </x:row>
    <x:row r="75" ht="39" customHeight="1">
      <x:c r="A75" s="2801">
        <x:v>45566</x:v>
      </x:c>
      <x:c r="B75" s="2797">
        <x:v>45657</x:v>
      </x:c>
      <x:c r="C75" s="2590" t="s">
        <x:v>131</x:v>
      </x:c>
      <x:c r="D75" s="2590" t="s">
        <x:v>829</x:v>
      </x:c>
      <x:c r="E75" s="2590" t="s">
        <x:v>830</x:v>
      </x:c>
      <x:c r="F75" s="2590" t="s">
        <x:v>535</x:v>
      </x:c>
      <x:c r="G75" s="2590" t="s">
        <x:v>62</x:v>
      </x:c>
      <x:c r="H75" s="2590" t="s">
        <x:v>782</x:v>
      </x:c>
      <x:c r="I75" s="2590" t="s">
        <x:v>783</x:v>
      </x:c>
      <x:c r="J75" s="2590" t="s">
        <x:v>784</x:v>
      </x:c>
      <x:c r="K75" s="2581" t="s">
        <x:v>832</x:v>
      </x:c>
      <x:c r="L75" s="2581" t="s">
        <x:v>788</x:v>
      </x:c>
      <x:c r="M75" s="2581" t="s">
        <x:v>833</x:v>
      </x:c>
      <x:c r="N75" s="2383">
        <x:v>178</x:v>
      </x:c>
      <x:c r="O75" s="2394"/>
      <x:c r="P75" s="2530">
        <x:v>4.9000000000000002E-2</x:v>
      </x:c>
      <x:c r="Q75" s="2590" t="s">
        <x:v>787</x:v>
      </x:c>
      <x:c r="R75" s="2581" t="s">
        <x:v>832</x:v>
      </x:c>
      <x:c r="S75" s="2590" t="s">
        <x:v>760</x:v>
      </x:c>
      <x:c r="T75" s="2590" t="s">
        <x:v>831</x:v>
      </x:c>
      <x:c r="U75" s="2590" t="s">
        <x:v>762</x:v>
      </x:c>
      <x:c r="V75" s="2581" t="s">
        <x:v>763</x:v>
      </x:c>
      <x:c r="W75" s="861"/>
      <x:c r="X75" s="1155"/>
    </x:row>
    <x:row r="76" ht="39" customHeight="1">
      <x:c r="A76" s="2801">
        <x:v>45566</x:v>
      </x:c>
      <x:c r="B76" s="2797">
        <x:v>45657</x:v>
      </x:c>
      <x:c r="C76" s="2590" t="s">
        <x:v>131</x:v>
      </x:c>
      <x:c r="D76" s="2590" t="s">
        <x:v>829</x:v>
      </x:c>
      <x:c r="E76" s="2590" t="s">
        <x:v>830</x:v>
      </x:c>
      <x:c r="F76" s="2590" t="s">
        <x:v>535</x:v>
      </x:c>
      <x:c r="G76" s="2590" t="s">
        <x:v>62</x:v>
      </x:c>
      <x:c r="H76" s="2590" t="s">
        <x:v>782</x:v>
      </x:c>
      <x:c r="I76" s="2590" t="s">
        <x:v>783</x:v>
      </x:c>
      <x:c r="J76" s="2590" t="s">
        <x:v>784</x:v>
      </x:c>
      <x:c r="K76" s="2581" t="s">
        <x:v>657</x:v>
      </x:c>
      <x:c r="L76" s="2581" t="s">
        <x:v>791</x:v>
      </x:c>
      <x:c r="M76" s="2581" t="s">
        <x:v>679</x:v>
      </x:c>
      <x:c r="N76" s="2383">
        <x:v>176</x:v>
      </x:c>
      <x:c r="O76" s="2394"/>
      <x:c r="P76" s="2530">
        <x:v>4.9000000000000002E-2</x:v>
      </x:c>
      <x:c r="Q76" s="2590" t="s">
        <x:v>787</x:v>
      </x:c>
      <x:c r="R76" s="2581" t="s">
        <x:v>657</x:v>
      </x:c>
      <x:c r="S76" s="2590" t="s">
        <x:v>760</x:v>
      </x:c>
      <x:c r="T76" s="2590" t="s">
        <x:v>831</x:v>
      </x:c>
      <x:c r="U76" s="2590" t="s">
        <x:v>762</x:v>
      </x:c>
      <x:c r="V76" s="2581" t="s">
        <x:v>763</x:v>
      </x:c>
      <x:c r="W76" s="861"/>
      <x:c r="X76" s="1155"/>
    </x:row>
    <x:row r="77" ht="39" customHeight="1">
      <x:c r="A77" s="2801">
        <x:v>45566</x:v>
      </x:c>
      <x:c r="B77" s="2797">
        <x:v>45657</x:v>
      </x:c>
      <x:c r="C77" s="2590" t="s">
        <x:v>131</x:v>
      </x:c>
      <x:c r="D77" s="2590" t="s">
        <x:v>829</x:v>
      </x:c>
      <x:c r="E77" s="2590" t="s">
        <x:v>830</x:v>
      </x:c>
      <x:c r="F77" s="2590" t="s">
        <x:v>535</x:v>
      </x:c>
      <x:c r="G77" s="2590" t="s">
        <x:v>62</x:v>
      </x:c>
      <x:c r="H77" s="2590" t="s">
        <x:v>782</x:v>
      </x:c>
      <x:c r="I77" s="2590" t="s">
        <x:v>783</x:v>
      </x:c>
      <x:c r="J77" s="2590" t="s">
        <x:v>784</x:v>
      </x:c>
      <x:c r="K77" s="2581" t="s">
        <x:v>660</x:v>
      </x:c>
      <x:c r="L77" s="2581" t="s">
        <x:v>793</x:v>
      </x:c>
      <x:c r="M77" s="2581" t="s">
        <x:v>794</x:v>
      </x:c>
      <x:c r="N77" s="2383">
        <x:v>142</x:v>
      </x:c>
      <x:c r="O77" s="2394"/>
      <x:c r="P77" s="2530">
        <x:v>3.9E-2</x:v>
      </x:c>
      <x:c r="Q77" s="2590" t="s">
        <x:v>787</x:v>
      </x:c>
      <x:c r="R77" s="2581" t="s">
        <x:v>660</x:v>
      </x:c>
      <x:c r="S77" s="2590" t="s">
        <x:v>760</x:v>
      </x:c>
      <x:c r="T77" s="2590" t="s">
        <x:v>831</x:v>
      </x:c>
      <x:c r="U77" s="2590" t="s">
        <x:v>762</x:v>
      </x:c>
      <x:c r="V77" s="2581" t="s">
        <x:v>763</x:v>
      </x:c>
      <x:c r="W77" s="861"/>
      <x:c r="X77" s="1155"/>
    </x:row>
    <x:row r="78" ht="39" customHeight="1">
      <x:c r="A78" s="2801">
        <x:v>45566</x:v>
      </x:c>
      <x:c r="B78" s="2797">
        <x:v>45657</x:v>
      </x:c>
      <x:c r="C78" s="2590" t="s">
        <x:v>131</x:v>
      </x:c>
      <x:c r="D78" s="2590" t="s">
        <x:v>829</x:v>
      </x:c>
      <x:c r="E78" s="2590" t="s">
        <x:v>830</x:v>
      </x:c>
      <x:c r="F78" s="2590" t="s">
        <x:v>535</x:v>
      </x:c>
      <x:c r="G78" s="2590" t="s">
        <x:v>62</x:v>
      </x:c>
      <x:c r="H78" s="2590" t="s">
        <x:v>782</x:v>
      </x:c>
      <x:c r="I78" s="2590" t="s">
        <x:v>783</x:v>
      </x:c>
      <x:c r="J78" s="2590" t="s">
        <x:v>784</x:v>
      </x:c>
      <x:c r="K78" s="2581" t="s">
        <x:v>654</x:v>
      </x:c>
      <x:c r="L78" s="2581" t="s">
        <x:v>785</x:v>
      </x:c>
      <x:c r="M78" s="2581" t="s">
        <x:v>790</x:v>
      </x:c>
      <x:c r="N78" s="2383">
        <x:v>141</x:v>
      </x:c>
      <x:c r="O78" s="2394"/>
      <x:c r="P78" s="2530">
        <x:v>3.9E-2</x:v>
      </x:c>
      <x:c r="Q78" s="2590" t="s">
        <x:v>787</x:v>
      </x:c>
      <x:c r="R78" s="2581" t="s">
        <x:v>654</x:v>
      </x:c>
      <x:c r="S78" s="2590" t="s">
        <x:v>760</x:v>
      </x:c>
      <x:c r="T78" s="2590" t="s">
        <x:v>831</x:v>
      </x:c>
      <x:c r="U78" s="2590" t="s">
        <x:v>762</x:v>
      </x:c>
      <x:c r="V78" s="2581" t="s">
        <x:v>763</x:v>
      </x:c>
      <x:c r="W78" s="861"/>
      <x:c r="X78" s="1155"/>
    </x:row>
    <x:row r="79" ht="39" customHeight="1">
      <x:c r="A79" s="2801">
        <x:v>45566</x:v>
      </x:c>
      <x:c r="B79" s="2797">
        <x:v>45657</x:v>
      </x:c>
      <x:c r="C79" s="2590" t="s">
        <x:v>131</x:v>
      </x:c>
      <x:c r="D79" s="2590" t="s">
        <x:v>829</x:v>
      </x:c>
      <x:c r="E79" s="2590" t="s">
        <x:v>830</x:v>
      </x:c>
      <x:c r="F79" s="2590" t="s">
        <x:v>535</x:v>
      </x:c>
      <x:c r="G79" s="2590" t="s">
        <x:v>62</x:v>
      </x:c>
      <x:c r="H79" s="2590" t="s">
        <x:v>782</x:v>
      </x:c>
      <x:c r="I79" s="2590" t="s">
        <x:v>783</x:v>
      </x:c>
      <x:c r="J79" s="2590" t="s">
        <x:v>784</x:v>
      </x:c>
      <x:c r="K79" s="2581" t="s">
        <x:v>658</x:v>
      </x:c>
      <x:c r="L79" s="2581" t="s">
        <x:v>788</x:v>
      </x:c>
      <x:c r="M79" s="2581" t="s">
        <x:v>800</x:v>
      </x:c>
      <x:c r="N79" s="2383">
        <x:v>138</x:v>
      </x:c>
      <x:c r="O79" s="2394"/>
      <x:c r="P79" s="2530">
        <x:v>3.7999999999999999E-2</x:v>
      </x:c>
      <x:c r="Q79" s="2590" t="s">
        <x:v>787</x:v>
      </x:c>
      <x:c r="R79" s="2581" t="s">
        <x:v>658</x:v>
      </x:c>
      <x:c r="S79" s="2590" t="s">
        <x:v>760</x:v>
      </x:c>
      <x:c r="T79" s="2590" t="s">
        <x:v>831</x:v>
      </x:c>
      <x:c r="U79" s="2590" t="s">
        <x:v>762</x:v>
      </x:c>
      <x:c r="V79" s="2581" t="s">
        <x:v>763</x:v>
      </x:c>
      <x:c r="W79" s="861"/>
      <x:c r="X79" s="1155"/>
    </x:row>
    <x:row r="80" ht="39" customHeight="1">
      <x:c r="A80" s="2801">
        <x:v>45566</x:v>
      </x:c>
      <x:c r="B80" s="2797">
        <x:v>45657</x:v>
      </x:c>
      <x:c r="C80" s="2590" t="s">
        <x:v>131</x:v>
      </x:c>
      <x:c r="D80" s="2590" t="s">
        <x:v>829</x:v>
      </x:c>
      <x:c r="E80" s="2590" t="s">
        <x:v>830</x:v>
      </x:c>
      <x:c r="F80" s="2590" t="s">
        <x:v>535</x:v>
      </x:c>
      <x:c r="G80" s="2590" t="s">
        <x:v>62</x:v>
      </x:c>
      <x:c r="H80" s="2590" t="s">
        <x:v>782</x:v>
      </x:c>
      <x:c r="I80" s="2590" t="s">
        <x:v>783</x:v>
      </x:c>
      <x:c r="J80" s="2590" t="s">
        <x:v>784</x:v>
      </x:c>
      <x:c r="K80" s="2581" t="s">
        <x:v>661</x:v>
      </x:c>
      <x:c r="L80" s="2581" t="s">
        <x:v>795</x:v>
      </x:c>
      <x:c r="M80" s="2581" t="s">
        <x:v>797</x:v>
      </x:c>
      <x:c r="N80" s="2383">
        <x:v>132</x:v>
      </x:c>
      <x:c r="O80" s="2394"/>
      <x:c r="P80" s="2530">
        <x:v>3.6999999999999998E-2</x:v>
      </x:c>
      <x:c r="Q80" s="2590" t="s">
        <x:v>787</x:v>
      </x:c>
      <x:c r="R80" s="2581" t="s">
        <x:v>661</x:v>
      </x:c>
      <x:c r="S80" s="2590" t="s">
        <x:v>760</x:v>
      </x:c>
      <x:c r="T80" s="2590" t="s">
        <x:v>831</x:v>
      </x:c>
      <x:c r="U80" s="2590" t="s">
        <x:v>762</x:v>
      </x:c>
      <x:c r="V80" s="2581" t="s">
        <x:v>763</x:v>
      </x:c>
      <x:c r="W80" s="861"/>
      <x:c r="X80" s="1155"/>
    </x:row>
    <x:row r="81" ht="39" customHeight="1">
      <x:c r="A81" s="2801">
        <x:v>45566</x:v>
      </x:c>
      <x:c r="B81" s="2797">
        <x:v>45657</x:v>
      </x:c>
      <x:c r="C81" s="2590" t="s">
        <x:v>131</x:v>
      </x:c>
      <x:c r="D81" s="2590" t="s">
        <x:v>829</x:v>
      </x:c>
      <x:c r="E81" s="2590" t="s">
        <x:v>830</x:v>
      </x:c>
      <x:c r="F81" s="2590" t="s">
        <x:v>535</x:v>
      </x:c>
      <x:c r="G81" s="2590" t="s">
        <x:v>62</x:v>
      </x:c>
      <x:c r="H81" s="2590" t="s">
        <x:v>782</x:v>
      </x:c>
      <x:c r="I81" s="2590" t="s">
        <x:v>783</x:v>
      </x:c>
      <x:c r="J81" s="2590" t="s">
        <x:v>784</x:v>
      </x:c>
      <x:c r="K81" s="2581" t="s">
        <x:v>659</x:v>
      </x:c>
      <x:c r="L81" s="2581" t="s">
        <x:v>798</x:v>
      </x:c>
      <x:c r="M81" s="2581" t="s">
        <x:v>799</x:v>
      </x:c>
      <x:c r="N81" s="2383">
        <x:v>113</x:v>
      </x:c>
      <x:c r="O81" s="2394"/>
      <x:c r="P81" s="2530">
        <x:v>3.1E-2</x:v>
      </x:c>
      <x:c r="Q81" s="2590" t="s">
        <x:v>787</x:v>
      </x:c>
      <x:c r="R81" s="2581" t="s">
        <x:v>659</x:v>
      </x:c>
      <x:c r="S81" s="2590" t="s">
        <x:v>760</x:v>
      </x:c>
      <x:c r="T81" s="2590" t="s">
        <x:v>831</x:v>
      </x:c>
      <x:c r="U81" s="2590" t="s">
        <x:v>762</x:v>
      </x:c>
      <x:c r="V81" s="2581" t="s">
        <x:v>763</x:v>
      </x:c>
      <x:c r="W81" s="861"/>
      <x:c r="X81" s="1155"/>
    </x:row>
    <x:row r="82" ht="39" customHeight="1">
      <x:c r="A82" s="2801">
        <x:v>45566</x:v>
      </x:c>
      <x:c r="B82" s="2797">
        <x:v>45657</x:v>
      </x:c>
      <x:c r="C82" s="2590" t="s">
        <x:v>131</x:v>
      </x:c>
      <x:c r="D82" s="2590" t="s">
        <x:v>829</x:v>
      </x:c>
      <x:c r="E82" s="2590" t="s">
        <x:v>830</x:v>
      </x:c>
      <x:c r="F82" s="2590" t="s">
        <x:v>535</x:v>
      </x:c>
      <x:c r="G82" s="2590" t="s">
        <x:v>62</x:v>
      </x:c>
      <x:c r="H82" s="2590" t="s">
        <x:v>782</x:v>
      </x:c>
      <x:c r="I82" s="2590" t="s">
        <x:v>783</x:v>
      </x:c>
      <x:c r="J82" s="2590" t="s">
        <x:v>784</x:v>
      </x:c>
      <x:c r="K82" s="2581" t="s">
        <x:v>667</x:v>
      </x:c>
      <x:c r="L82" s="2581" t="s">
        <x:v>795</x:v>
      </x:c>
      <x:c r="M82" s="2581" t="s">
        <x:v>796</x:v>
      </x:c>
      <x:c r="N82" s="2383">
        <x:v>111</x:v>
      </x:c>
      <x:c r="O82" s="2394"/>
      <x:c r="P82" s="2530">
        <x:v>3.1E-2</x:v>
      </x:c>
      <x:c r="Q82" s="2590" t="s">
        <x:v>787</x:v>
      </x:c>
      <x:c r="R82" s="2581" t="s">
        <x:v>667</x:v>
      </x:c>
      <x:c r="S82" s="2590" t="s">
        <x:v>760</x:v>
      </x:c>
      <x:c r="T82" s="2590" t="s">
        <x:v>831</x:v>
      </x:c>
      <x:c r="U82" s="2590" t="s">
        <x:v>762</x:v>
      </x:c>
      <x:c r="V82" s="2581" t="s">
        <x:v>763</x:v>
      </x:c>
      <x:c r="W82" s="861"/>
      <x:c r="X82" s="1155"/>
    </x:row>
    <x:row r="83" ht="39" customHeight="1">
      <x:c r="A83" s="2801">
        <x:v>45566</x:v>
      </x:c>
      <x:c r="B83" s="2797">
        <x:v>45657</x:v>
      </x:c>
      <x:c r="C83" s="2590" t="s">
        <x:v>131</x:v>
      </x:c>
      <x:c r="D83" s="2590" t="s">
        <x:v>829</x:v>
      </x:c>
      <x:c r="E83" s="2590" t="s">
        <x:v>830</x:v>
      </x:c>
      <x:c r="F83" s="2590" t="s">
        <x:v>535</x:v>
      </x:c>
      <x:c r="G83" s="2590" t="s">
        <x:v>62</x:v>
      </x:c>
      <x:c r="H83" s="2590" t="s">
        <x:v>782</x:v>
      </x:c>
      <x:c r="I83" s="2590" t="s">
        <x:v>783</x:v>
      </x:c>
      <x:c r="J83" s="2590" t="s">
        <x:v>784</x:v>
      </x:c>
      <x:c r="K83" s="2581" t="s">
        <x:v>663</x:v>
      </x:c>
      <x:c r="L83" s="2581" t="s">
        <x:v>795</x:v>
      </x:c>
      <x:c r="M83" s="2581" t="s">
        <x:v>804</x:v>
      </x:c>
      <x:c r="N83" s="2383">
        <x:v>94</x:v>
      </x:c>
      <x:c r="O83" s="2394"/>
      <x:c r="P83" s="2530">
        <x:v>2.5999999999999999E-2</x:v>
      </x:c>
      <x:c r="Q83" s="2590" t="s">
        <x:v>787</x:v>
      </x:c>
      <x:c r="R83" s="2581" t="s">
        <x:v>663</x:v>
      </x:c>
      <x:c r="S83" s="2590" t="s">
        <x:v>760</x:v>
      </x:c>
      <x:c r="T83" s="2590" t="s">
        <x:v>831</x:v>
      </x:c>
      <x:c r="U83" s="2590" t="s">
        <x:v>762</x:v>
      </x:c>
      <x:c r="V83" s="2581" t="s">
        <x:v>763</x:v>
      </x:c>
      <x:c r="W83" s="861"/>
      <x:c r="X83" s="1155"/>
    </x:row>
    <x:row r="84" ht="39" customHeight="1">
      <x:c r="A84" s="2801">
        <x:v>45566</x:v>
      </x:c>
      <x:c r="B84" s="2797">
        <x:v>45657</x:v>
      </x:c>
      <x:c r="C84" s="2590" t="s">
        <x:v>131</x:v>
      </x:c>
      <x:c r="D84" s="2590" t="s">
        <x:v>829</x:v>
      </x:c>
      <x:c r="E84" s="2590" t="s">
        <x:v>830</x:v>
      </x:c>
      <x:c r="F84" s="2590" t="s">
        <x:v>535</x:v>
      </x:c>
      <x:c r="G84" s="2590" t="s">
        <x:v>62</x:v>
      </x:c>
      <x:c r="H84" s="2590" t="s">
        <x:v>782</x:v>
      </x:c>
      <x:c r="I84" s="2590" t="s">
        <x:v>783</x:v>
      </x:c>
      <x:c r="J84" s="2590" t="s">
        <x:v>784</x:v>
      </x:c>
      <x:c r="K84" s="2581" t="s">
        <x:v>669</x:v>
      </x:c>
      <x:c r="L84" s="2581" t="s">
        <x:v>805</x:v>
      </x:c>
      <x:c r="M84" s="2581" t="s">
        <x:v>806</x:v>
      </x:c>
      <x:c r="N84" s="2383">
        <x:v>92</x:v>
      </x:c>
      <x:c r="O84" s="2394"/>
      <x:c r="P84" s="2530">
        <x:v>2.5999999999999999E-2</x:v>
      </x:c>
      <x:c r="Q84" s="2590" t="s">
        <x:v>787</x:v>
      </x:c>
      <x:c r="R84" s="2581" t="s">
        <x:v>669</x:v>
      </x:c>
      <x:c r="S84" s="2590" t="s">
        <x:v>760</x:v>
      </x:c>
      <x:c r="T84" s="2590" t="s">
        <x:v>831</x:v>
      </x:c>
      <x:c r="U84" s="2590" t="s">
        <x:v>762</x:v>
      </x:c>
      <x:c r="V84" s="2581" t="s">
        <x:v>763</x:v>
      </x:c>
      <x:c r="W84" s="861"/>
      <x:c r="X84" s="1155"/>
    </x:row>
    <x:row r="85" ht="39" customHeight="1">
      <x:c r="A85" s="2801">
        <x:v>45566</x:v>
      </x:c>
      <x:c r="B85" s="2797">
        <x:v>45657</x:v>
      </x:c>
      <x:c r="C85" s="2590" t="s">
        <x:v>131</x:v>
      </x:c>
      <x:c r="D85" s="2590" t="s">
        <x:v>829</x:v>
      </x:c>
      <x:c r="E85" s="2590" t="s">
        <x:v>830</x:v>
      </x:c>
      <x:c r="F85" s="2590" t="s">
        <x:v>535</x:v>
      </x:c>
      <x:c r="G85" s="2590" t="s">
        <x:v>62</x:v>
      </x:c>
      <x:c r="H85" s="2590" t="s">
        <x:v>782</x:v>
      </x:c>
      <x:c r="I85" s="2590" t="s">
        <x:v>783</x:v>
      </x:c>
      <x:c r="J85" s="2590" t="s">
        <x:v>784</x:v>
      </x:c>
      <x:c r="K85" s="2581" t="s">
        <x:v>665</x:v>
      </x:c>
      <x:c r="L85" s="2581" t="s">
        <x:v>785</x:v>
      </x:c>
      <x:c r="M85" s="2581" t="s">
        <x:v>801</x:v>
      </x:c>
      <x:c r="N85" s="2383">
        <x:v>90</x:v>
      </x:c>
      <x:c r="O85" s="2394"/>
      <x:c r="P85" s="2530">
        <x:v>2.5000000000000001E-2</x:v>
      </x:c>
      <x:c r="Q85" s="2590" t="s">
        <x:v>787</x:v>
      </x:c>
      <x:c r="R85" s="2581" t="s">
        <x:v>665</x:v>
      </x:c>
      <x:c r="S85" s="2590" t="s">
        <x:v>760</x:v>
      </x:c>
      <x:c r="T85" s="2590" t="s">
        <x:v>831</x:v>
      </x:c>
      <x:c r="U85" s="2590" t="s">
        <x:v>762</x:v>
      </x:c>
      <x:c r="V85" s="2581" t="s">
        <x:v>763</x:v>
      </x:c>
      <x:c r="W85" s="861"/>
      <x:c r="X85" s="1155"/>
    </x:row>
    <x:row r="86" ht="39" customHeight="1">
      <x:c r="A86" s="2801">
        <x:v>45566</x:v>
      </x:c>
      <x:c r="B86" s="2797">
        <x:v>45657</x:v>
      </x:c>
      <x:c r="C86" s="2590" t="s">
        <x:v>131</x:v>
      </x:c>
      <x:c r="D86" s="2590" t="s">
        <x:v>829</x:v>
      </x:c>
      <x:c r="E86" s="2590" t="s">
        <x:v>830</x:v>
      </x:c>
      <x:c r="F86" s="2590" t="s">
        <x:v>535</x:v>
      </x:c>
      <x:c r="G86" s="2590" t="s">
        <x:v>62</x:v>
      </x:c>
      <x:c r="H86" s="2590" t="s">
        <x:v>782</x:v>
      </x:c>
      <x:c r="I86" s="2590" t="s">
        <x:v>783</x:v>
      </x:c>
      <x:c r="J86" s="2590" t="s">
        <x:v>784</x:v>
      </x:c>
      <x:c r="K86" s="2581" t="s">
        <x:v>664</x:v>
      </x:c>
      <x:c r="L86" s="2581" t="s">
        <x:v>785</x:v>
      </x:c>
      <x:c r="M86" s="2581" t="s">
        <x:v>807</x:v>
      </x:c>
      <x:c r="N86" s="2383">
        <x:v>89</x:v>
      </x:c>
      <x:c r="O86" s="2394"/>
      <x:c r="P86" s="2530">
        <x:v>2.5000000000000001E-2</x:v>
      </x:c>
      <x:c r="Q86" s="2590" t="s">
        <x:v>787</x:v>
      </x:c>
      <x:c r="R86" s="2581" t="s">
        <x:v>664</x:v>
      </x:c>
      <x:c r="S86" s="2590" t="s">
        <x:v>760</x:v>
      </x:c>
      <x:c r="T86" s="2590" t="s">
        <x:v>831</x:v>
      </x:c>
      <x:c r="U86" s="2590" t="s">
        <x:v>762</x:v>
      </x:c>
      <x:c r="V86" s="2581" t="s">
        <x:v>763</x:v>
      </x:c>
      <x:c r="W86" s="861"/>
      <x:c r="X86" s="1155"/>
    </x:row>
    <x:row r="87" ht="39" customHeight="1">
      <x:c r="A87" s="2801">
        <x:v>45566</x:v>
      </x:c>
      <x:c r="B87" s="2797">
        <x:v>45657</x:v>
      </x:c>
      <x:c r="C87" s="2590" t="s">
        <x:v>131</x:v>
      </x:c>
      <x:c r="D87" s="2590" t="s">
        <x:v>829</x:v>
      </x:c>
      <x:c r="E87" s="2590" t="s">
        <x:v>830</x:v>
      </x:c>
      <x:c r="F87" s="2590" t="s">
        <x:v>535</x:v>
      </x:c>
      <x:c r="G87" s="2590" t="s">
        <x:v>62</x:v>
      </x:c>
      <x:c r="H87" s="2590" t="s">
        <x:v>782</x:v>
      </x:c>
      <x:c r="I87" s="2590" t="s">
        <x:v>783</x:v>
      </x:c>
      <x:c r="J87" s="2590" t="s">
        <x:v>784</x:v>
      </x:c>
      <x:c r="K87" s="2581" t="s">
        <x:v>662</x:v>
      </x:c>
      <x:c r="L87" s="2581" t="s">
        <x:v>788</x:v>
      </x:c>
      <x:c r="M87" s="2581" t="s">
        <x:v>792</x:v>
      </x:c>
      <x:c r="N87" s="2383">
        <x:v>89</x:v>
      </x:c>
      <x:c r="O87" s="2394"/>
      <x:c r="P87" s="2530">
        <x:v>2.5000000000000001E-2</x:v>
      </x:c>
      <x:c r="Q87" s="2590" t="s">
        <x:v>787</x:v>
      </x:c>
      <x:c r="R87" s="2581" t="s">
        <x:v>662</x:v>
      </x:c>
      <x:c r="S87" s="2590" t="s">
        <x:v>760</x:v>
      </x:c>
      <x:c r="T87" s="2590" t="s">
        <x:v>831</x:v>
      </x:c>
      <x:c r="U87" s="2590" t="s">
        <x:v>762</x:v>
      </x:c>
      <x:c r="V87" s="2581" t="s">
        <x:v>763</x:v>
      </x:c>
      <x:c r="W87" s="861"/>
      <x:c r="X87" s="1155"/>
    </x:row>
    <x:row r="88" ht="39" customHeight="1">
      <x:c r="A88" s="2801">
        <x:v>45566</x:v>
      </x:c>
      <x:c r="B88" s="2797">
        <x:v>45657</x:v>
      </x:c>
      <x:c r="C88" s="2590" t="s">
        <x:v>131</x:v>
      </x:c>
      <x:c r="D88" s="2590" t="s">
        <x:v>829</x:v>
      </x:c>
      <x:c r="E88" s="2590" t="s">
        <x:v>830</x:v>
      </x:c>
      <x:c r="F88" s="2590" t="s">
        <x:v>535</x:v>
      </x:c>
      <x:c r="G88" s="2590" t="s">
        <x:v>62</x:v>
      </x:c>
      <x:c r="H88" s="2590" t="s">
        <x:v>782</x:v>
      </x:c>
      <x:c r="I88" s="2590" t="s">
        <x:v>783</x:v>
      </x:c>
      <x:c r="J88" s="2590" t="s">
        <x:v>784</x:v>
      </x:c>
      <x:c r="K88" s="2581" t="s">
        <x:v>684</x:v>
      </x:c>
      <x:c r="L88" s="2581" t="s">
        <x:v>793</x:v>
      </x:c>
      <x:c r="M88" s="2581" t="s">
        <x:v>808</x:v>
      </x:c>
      <x:c r="N88" s="2383">
        <x:v>77</x:v>
      </x:c>
      <x:c r="O88" s="2394"/>
      <x:c r="P88" s="2530">
        <x:v>2.1000000000000001E-2</x:v>
      </x:c>
      <x:c r="Q88" s="2590" t="s">
        <x:v>787</x:v>
      </x:c>
      <x:c r="R88" s="2581" t="s">
        <x:v>684</x:v>
      </x:c>
      <x:c r="S88" s="2590" t="s">
        <x:v>760</x:v>
      </x:c>
      <x:c r="T88" s="2590" t="s">
        <x:v>831</x:v>
      </x:c>
      <x:c r="U88" s="2590" t="s">
        <x:v>762</x:v>
      </x:c>
      <x:c r="V88" s="2581" t="s">
        <x:v>763</x:v>
      </x:c>
      <x:c r="W88" s="861"/>
      <x:c r="X88" s="1155"/>
    </x:row>
    <x:row r="89" ht="39" customHeight="1">
      <x:c r="A89" s="2801">
        <x:v>45566</x:v>
      </x:c>
      <x:c r="B89" s="2797">
        <x:v>45657</x:v>
      </x:c>
      <x:c r="C89" s="2590" t="s">
        <x:v>131</x:v>
      </x:c>
      <x:c r="D89" s="2590" t="s">
        <x:v>829</x:v>
      </x:c>
      <x:c r="E89" s="2590" t="s">
        <x:v>830</x:v>
      </x:c>
      <x:c r="F89" s="2590" t="s">
        <x:v>535</x:v>
      </x:c>
      <x:c r="G89" s="2590" t="s">
        <x:v>62</x:v>
      </x:c>
      <x:c r="H89" s="2590" t="s">
        <x:v>782</x:v>
      </x:c>
      <x:c r="I89" s="2590" t="s">
        <x:v>783</x:v>
      </x:c>
      <x:c r="J89" s="2590" t="s">
        <x:v>784</x:v>
      </x:c>
      <x:c r="K89" s="2581" t="s">
        <x:v>666</x:v>
      </x:c>
      <x:c r="L89" s="2581" t="s">
        <x:v>802</x:v>
      </x:c>
      <x:c r="M89" s="2581" t="s">
        <x:v>803</x:v>
      </x:c>
      <x:c r="N89" s="2383">
        <x:v>68</x:v>
      </x:c>
      <x:c r="O89" s="2394"/>
      <x:c r="P89" s="2530">
        <x:v>1.9E-2</x:v>
      </x:c>
      <x:c r="Q89" s="2590" t="s">
        <x:v>787</x:v>
      </x:c>
      <x:c r="R89" s="2581" t="s">
        <x:v>666</x:v>
      </x:c>
      <x:c r="S89" s="2590" t="s">
        <x:v>760</x:v>
      </x:c>
      <x:c r="T89" s="2590" t="s">
        <x:v>831</x:v>
      </x:c>
      <x:c r="U89" s="2590" t="s">
        <x:v>762</x:v>
      </x:c>
      <x:c r="V89" s="2581" t="s">
        <x:v>763</x:v>
      </x:c>
      <x:c r="W89" s="861"/>
      <x:c r="X89" s="1155"/>
    </x:row>
    <x:row r="90" ht="39" customHeight="1">
      <x:c r="A90" s="2801">
        <x:v>45566</x:v>
      </x:c>
      <x:c r="B90" s="2797">
        <x:v>45657</x:v>
      </x:c>
      <x:c r="C90" s="2590" t="s">
        <x:v>131</x:v>
      </x:c>
      <x:c r="D90" s="2590" t="s">
        <x:v>829</x:v>
      </x:c>
      <x:c r="E90" s="2590" t="s">
        <x:v>830</x:v>
      </x:c>
      <x:c r="F90" s="2590" t="s">
        <x:v>535</x:v>
      </x:c>
      <x:c r="G90" s="2590" t="s">
        <x:v>62</x:v>
      </x:c>
      <x:c r="H90" s="2590" t="s">
        <x:v>782</x:v>
      </x:c>
      <x:c r="I90" s="2590" t="s">
        <x:v>783</x:v>
      </x:c>
      <x:c r="J90" s="2590" t="s">
        <x:v>784</x:v>
      </x:c>
      <x:c r="K90" s="2581" t="s">
        <x:v>670</x:v>
      </x:c>
      <x:c r="L90" s="2581" t="s">
        <x:v>802</x:v>
      </x:c>
      <x:c r="M90" s="2581" t="s">
        <x:v>577</x:v>
      </x:c>
      <x:c r="N90" s="2383">
        <x:v>64</x:v>
      </x:c>
      <x:c r="O90" s="2394"/>
      <x:c r="P90" s="2530">
        <x:v>1.7999999999999999E-2</x:v>
      </x:c>
      <x:c r="Q90" s="2590" t="s">
        <x:v>787</x:v>
      </x:c>
      <x:c r="R90" s="2581" t="s">
        <x:v>670</x:v>
      </x:c>
      <x:c r="S90" s="2590" t="s">
        <x:v>760</x:v>
      </x:c>
      <x:c r="T90" s="2590" t="s">
        <x:v>831</x:v>
      </x:c>
      <x:c r="U90" s="2590" t="s">
        <x:v>762</x:v>
      </x:c>
      <x:c r="V90" s="2581" t="s">
        <x:v>763</x:v>
      </x:c>
      <x:c r="W90" s="861"/>
      <x:c r="X90" s="1155"/>
    </x:row>
    <x:row r="91" ht="39" customHeight="1">
      <x:c r="A91" s="2801">
        <x:v>45566</x:v>
      </x:c>
      <x:c r="B91" s="2797">
        <x:v>45657</x:v>
      </x:c>
      <x:c r="C91" s="2590" t="s">
        <x:v>131</x:v>
      </x:c>
      <x:c r="D91" s="2590" t="s">
        <x:v>829</x:v>
      </x:c>
      <x:c r="E91" s="2590" t="s">
        <x:v>830</x:v>
      </x:c>
      <x:c r="F91" s="2590" t="s">
        <x:v>535</x:v>
      </x:c>
      <x:c r="G91" s="2590" t="s">
        <x:v>62</x:v>
      </x:c>
      <x:c r="H91" s="2590" t="s">
        <x:v>782</x:v>
      </x:c>
      <x:c r="I91" s="2590" t="s">
        <x:v>783</x:v>
      </x:c>
      <x:c r="J91" s="2590" t="s">
        <x:v>784</x:v>
      </x:c>
      <x:c r="K91" s="2581" t="s">
        <x:v>834</x:v>
      </x:c>
      <x:c r="L91" s="2581" t="s">
        <x:v>805</x:v>
      </x:c>
      <x:c r="M91" s="2581" t="s">
        <x:v>835</x:v>
      </x:c>
      <x:c r="N91" s="2383">
        <x:v>63</x:v>
      </x:c>
      <x:c r="O91" s="2394"/>
      <x:c r="P91" s="2530">
        <x:v>1.7999999999999999E-2</x:v>
      </x:c>
      <x:c r="Q91" s="2590" t="s">
        <x:v>787</x:v>
      </x:c>
      <x:c r="R91" s="2581" t="s">
        <x:v>834</x:v>
      </x:c>
      <x:c r="S91" s="2590" t="s">
        <x:v>760</x:v>
      </x:c>
      <x:c r="T91" s="2590" t="s">
        <x:v>831</x:v>
      </x:c>
      <x:c r="U91" s="2590" t="s">
        <x:v>762</x:v>
      </x:c>
      <x:c r="V91" s="2581" t="s">
        <x:v>763</x:v>
      </x:c>
      <x:c r="W91" s="861"/>
      <x:c r="X91" s="1155"/>
    </x:row>
    <x:row r="92" ht="39" customHeight="1">
      <x:c r="A92" s="2801">
        <x:v>45566</x:v>
      </x:c>
      <x:c r="B92" s="2797">
        <x:v>45657</x:v>
      </x:c>
      <x:c r="C92" s="2590" t="s">
        <x:v>131</x:v>
      </x:c>
      <x:c r="D92" s="2590" t="s">
        <x:v>829</x:v>
      </x:c>
      <x:c r="E92" s="2590" t="s">
        <x:v>830</x:v>
      </x:c>
      <x:c r="F92" s="2590" t="s">
        <x:v>535</x:v>
      </x:c>
      <x:c r="G92" s="2590" t="s">
        <x:v>62</x:v>
      </x:c>
      <x:c r="H92" s="2590" t="s">
        <x:v>782</x:v>
      </x:c>
      <x:c r="I92" s="2590" t="s">
        <x:v>783</x:v>
      </x:c>
      <x:c r="J92" s="2590" t="s">
        <x:v>784</x:v>
      </x:c>
      <x:c r="K92" s="2581" t="s">
        <x:v>836</x:v>
      </x:c>
      <x:c r="L92" s="2581" t="s">
        <x:v>785</x:v>
      </x:c>
      <x:c r="M92" s="2581" t="s">
        <x:v>837</x:v>
      </x:c>
      <x:c r="N92" s="2383">
        <x:v>60</x:v>
      </x:c>
      <x:c r="O92" s="2394"/>
      <x:c r="P92" s="2530">
        <x:v>1.7000000000000001E-2</x:v>
      </x:c>
      <x:c r="Q92" s="2590" t="s">
        <x:v>787</x:v>
      </x:c>
      <x:c r="R92" s="2581" t="s">
        <x:v>836</x:v>
      </x:c>
      <x:c r="S92" s="2590" t="s">
        <x:v>760</x:v>
      </x:c>
      <x:c r="T92" s="2590" t="s">
        <x:v>831</x:v>
      </x:c>
      <x:c r="U92" s="2590" t="s">
        <x:v>762</x:v>
      </x:c>
      <x:c r="V92" s="2581" t="s">
        <x:v>763</x:v>
      </x:c>
      <x:c r="W92" s="861"/>
      <x:c r="X92" s="1155"/>
    </x:row>
    <x:row r="93" ht="39" customHeight="1">
      <x:c r="A93" s="2801">
        <x:v>45566</x:v>
      </x:c>
      <x:c r="B93" s="2797">
        <x:v>45657</x:v>
      </x:c>
      <x:c r="C93" s="2590" t="s">
        <x:v>131</x:v>
      </x:c>
      <x:c r="D93" s="2590" t="s">
        <x:v>829</x:v>
      </x:c>
      <x:c r="E93" s="2590" t="s">
        <x:v>830</x:v>
      </x:c>
      <x:c r="F93" s="2590" t="s">
        <x:v>535</x:v>
      </x:c>
      <x:c r="G93" s="2590" t="s">
        <x:v>62</x:v>
      </x:c>
      <x:c r="H93" s="2590" t="s">
        <x:v>782</x:v>
      </x:c>
      <x:c r="I93" s="2590" t="s">
        <x:v>783</x:v>
      </x:c>
      <x:c r="J93" s="2590" t="s">
        <x:v>784</x:v>
      </x:c>
      <x:c r="K93" s="2581" t="s">
        <x:v>672</x:v>
      </x:c>
      <x:c r="L93" s="2581" t="s">
        <x:v>791</x:v>
      </x:c>
      <x:c r="M93" s="2581" t="s">
        <x:v>838</x:v>
      </x:c>
      <x:c r="N93" s="2383">
        <x:v>60</x:v>
      </x:c>
      <x:c r="O93" s="2394"/>
      <x:c r="P93" s="2530">
        <x:v>1.7000000000000001E-2</x:v>
      </x:c>
      <x:c r="Q93" s="2590" t="s">
        <x:v>787</x:v>
      </x:c>
      <x:c r="R93" s="2581" t="s">
        <x:v>672</x:v>
      </x:c>
      <x:c r="S93" s="2590" t="s">
        <x:v>760</x:v>
      </x:c>
      <x:c r="T93" s="2590" t="s">
        <x:v>831</x:v>
      </x:c>
      <x:c r="U93" s="2590" t="s">
        <x:v>762</x:v>
      </x:c>
      <x:c r="V93" s="2581" t="s">
        <x:v>763</x:v>
      </x:c>
      <x:c r="W93" s="861"/>
      <x:c r="X93" s="1155"/>
    </x:row>
    <x:row r="94" ht="39" customHeight="1">
      <x:c r="A94" s="2801">
        <x:v>45566</x:v>
      </x:c>
      <x:c r="B94" s="2797">
        <x:v>45657</x:v>
      </x:c>
      <x:c r="C94" s="2590" t="s">
        <x:v>131</x:v>
      </x:c>
      <x:c r="D94" s="2590" t="s">
        <x:v>829</x:v>
      </x:c>
      <x:c r="E94" s="2590" t="s">
        <x:v>830</x:v>
      </x:c>
      <x:c r="F94" s="2590" t="s">
        <x:v>535</x:v>
      </x:c>
      <x:c r="G94" s="2590" t="s">
        <x:v>776</x:v>
      </x:c>
      <x:c r="H94" s="2590" t="s">
        <x:v>782</x:v>
      </x:c>
      <x:c r="I94" s="2590" t="s">
        <x:v>783</x:v>
      </x:c>
      <x:c r="J94" s="2590" t="s">
        <x:v>784</x:v>
      </x:c>
      <x:c r="K94" s="2581" t="s">
        <x:v>667</x:v>
      </x:c>
      <x:c r="L94" s="2581" t="s">
        <x:v>795</x:v>
      </x:c>
      <x:c r="M94" s="2581" t="s">
        <x:v>796</x:v>
      </x:c>
      <x:c r="N94" s="2383">
        <x:v>251</x:v>
      </x:c>
      <x:c r="O94" s="2394"/>
      <x:c r="P94" s="2530">
        <x:v>0.122</x:v>
      </x:c>
      <x:c r="Q94" s="2590" t="s">
        <x:v>787</x:v>
      </x:c>
      <x:c r="R94" s="2581" t="s">
        <x:v>667</x:v>
      </x:c>
      <x:c r="S94" s="2590" t="s">
        <x:v>760</x:v>
      </x:c>
      <x:c r="T94" s="2590" t="s">
        <x:v>831</x:v>
      </x:c>
      <x:c r="U94" s="2590" t="s">
        <x:v>762</x:v>
      </x:c>
      <x:c r="V94" s="2581" t="s">
        <x:v>763</x:v>
      </x:c>
      <x:c r="W94" s="861"/>
      <x:c r="X94" s="1155"/>
    </x:row>
    <x:row r="95" ht="39" customHeight="1">
      <x:c r="A95" s="2801">
        <x:v>45566</x:v>
      </x:c>
      <x:c r="B95" s="2797">
        <x:v>45657</x:v>
      </x:c>
      <x:c r="C95" s="2590" t="s">
        <x:v>131</x:v>
      </x:c>
      <x:c r="D95" s="2590" t="s">
        <x:v>829</x:v>
      </x:c>
      <x:c r="E95" s="2590" t="s">
        <x:v>830</x:v>
      </x:c>
      <x:c r="F95" s="2590" t="s">
        <x:v>535</x:v>
      </x:c>
      <x:c r="G95" s="2590" t="s">
        <x:v>776</x:v>
      </x:c>
      <x:c r="H95" s="2590" t="s">
        <x:v>782</x:v>
      </x:c>
      <x:c r="I95" s="2590" t="s">
        <x:v>783</x:v>
      </x:c>
      <x:c r="J95" s="2590" t="s">
        <x:v>784</x:v>
      </x:c>
      <x:c r="K95" s="2581" t="s">
        <x:v>671</x:v>
      </x:c>
      <x:c r="L95" s="2581" t="s">
        <x:v>809</x:v>
      </x:c>
      <x:c r="M95" s="2581" t="s">
        <x:v>701</x:v>
      </x:c>
      <x:c r="N95" s="2383">
        <x:v>210</x:v>
      </x:c>
      <x:c r="O95" s="2394"/>
      <x:c r="P95" s="2530">
        <x:v>0.10199999999999999</x:v>
      </x:c>
      <x:c r="Q95" s="2590" t="s">
        <x:v>787</x:v>
      </x:c>
      <x:c r="R95" s="2581" t="s">
        <x:v>671</x:v>
      </x:c>
      <x:c r="S95" s="2590" t="s">
        <x:v>760</x:v>
      </x:c>
      <x:c r="T95" s="2590" t="s">
        <x:v>831</x:v>
      </x:c>
      <x:c r="U95" s="2590" t="s">
        <x:v>762</x:v>
      </x:c>
      <x:c r="V95" s="2581" t="s">
        <x:v>763</x:v>
      </x:c>
      <x:c r="W95" s="861"/>
      <x:c r="X95" s="1155"/>
    </x:row>
    <x:row r="96" ht="39" customHeight="1">
      <x:c r="A96" s="2801">
        <x:v>45566</x:v>
      </x:c>
      <x:c r="B96" s="2797">
        <x:v>45657</x:v>
      </x:c>
      <x:c r="C96" s="2590" t="s">
        <x:v>131</x:v>
      </x:c>
      <x:c r="D96" s="2590" t="s">
        <x:v>829</x:v>
      </x:c>
      <x:c r="E96" s="2590" t="s">
        <x:v>830</x:v>
      </x:c>
      <x:c r="F96" s="2590" t="s">
        <x:v>535</x:v>
      </x:c>
      <x:c r="G96" s="2590" t="s">
        <x:v>776</x:v>
      </x:c>
      <x:c r="H96" s="2590" t="s">
        <x:v>782</x:v>
      </x:c>
      <x:c r="I96" s="2590" t="s">
        <x:v>783</x:v>
      </x:c>
      <x:c r="J96" s="2590" t="s">
        <x:v>784</x:v>
      </x:c>
      <x:c r="K96" s="2581" t="s">
        <x:v>684</x:v>
      </x:c>
      <x:c r="L96" s="2581" t="s">
        <x:v>793</x:v>
      </x:c>
      <x:c r="M96" s="2581" t="s">
        <x:v>808</x:v>
      </x:c>
      <x:c r="N96" s="2383">
        <x:v>190</x:v>
      </x:c>
      <x:c r="O96" s="2394"/>
      <x:c r="P96" s="2530">
        <x:v>9.1999999999999998E-2</x:v>
      </x:c>
      <x:c r="Q96" s="2590" t="s">
        <x:v>787</x:v>
      </x:c>
      <x:c r="R96" s="2581" t="s">
        <x:v>684</x:v>
      </x:c>
      <x:c r="S96" s="2590" t="s">
        <x:v>760</x:v>
      </x:c>
      <x:c r="T96" s="2590" t="s">
        <x:v>831</x:v>
      </x:c>
      <x:c r="U96" s="2590" t="s">
        <x:v>762</x:v>
      </x:c>
      <x:c r="V96" s="2581" t="s">
        <x:v>763</x:v>
      </x:c>
      <x:c r="W96" s="861"/>
      <x:c r="X96" s="1155"/>
    </x:row>
    <x:row r="97" ht="39" customHeight="1">
      <x:c r="A97" s="2801">
        <x:v>45566</x:v>
      </x:c>
      <x:c r="B97" s="2797">
        <x:v>45657</x:v>
      </x:c>
      <x:c r="C97" s="2590" t="s">
        <x:v>131</x:v>
      </x:c>
      <x:c r="D97" s="2590" t="s">
        <x:v>829</x:v>
      </x:c>
      <x:c r="E97" s="2590" t="s">
        <x:v>830</x:v>
      </x:c>
      <x:c r="F97" s="2590" t="s">
        <x:v>535</x:v>
      </x:c>
      <x:c r="G97" s="2590" t="s">
        <x:v>776</x:v>
      </x:c>
      <x:c r="H97" s="2590" t="s">
        <x:v>782</x:v>
      </x:c>
      <x:c r="I97" s="2590" t="s">
        <x:v>783</x:v>
      </x:c>
      <x:c r="J97" s="2590" t="s">
        <x:v>784</x:v>
      </x:c>
      <x:c r="K97" s="2581" t="s">
        <x:v>686</x:v>
      </x:c>
      <x:c r="L97" s="2581" t="s">
        <x:v>809</x:v>
      </x:c>
      <x:c r="M97" s="2581" t="s">
        <x:v>704</x:v>
      </x:c>
      <x:c r="N97" s="2383">
        <x:v>103</x:v>
      </x:c>
      <x:c r="O97" s="2394"/>
      <x:c r="P97" s="2530">
        <x:v>0.05</x:v>
      </x:c>
      <x:c r="Q97" s="2590" t="s">
        <x:v>787</x:v>
      </x:c>
      <x:c r="R97" s="2581" t="s">
        <x:v>686</x:v>
      </x:c>
      <x:c r="S97" s="2590" t="s">
        <x:v>760</x:v>
      </x:c>
      <x:c r="T97" s="2590" t="s">
        <x:v>831</x:v>
      </x:c>
      <x:c r="U97" s="2590" t="s">
        <x:v>762</x:v>
      </x:c>
      <x:c r="V97" s="2581" t="s">
        <x:v>763</x:v>
      </x:c>
      <x:c r="W97" s="861"/>
      <x:c r="X97" s="1155"/>
    </x:row>
    <x:row r="98" ht="39" customHeight="1">
      <x:c r="A98" s="2801">
        <x:v>45566</x:v>
      </x:c>
      <x:c r="B98" s="2797">
        <x:v>45657</x:v>
      </x:c>
      <x:c r="C98" s="2590" t="s">
        <x:v>131</x:v>
      </x:c>
      <x:c r="D98" s="2590" t="s">
        <x:v>829</x:v>
      </x:c>
      <x:c r="E98" s="2590" t="s">
        <x:v>830</x:v>
      </x:c>
      <x:c r="F98" s="2590" t="s">
        <x:v>535</x:v>
      </x:c>
      <x:c r="G98" s="2590" t="s">
        <x:v>776</x:v>
      </x:c>
      <x:c r="H98" s="2590" t="s">
        <x:v>782</x:v>
      </x:c>
      <x:c r="I98" s="2590" t="s">
        <x:v>783</x:v>
      </x:c>
      <x:c r="J98" s="2590" t="s">
        <x:v>784</x:v>
      </x:c>
      <x:c r="K98" s="2581" t="s">
        <x:v>687</x:v>
      </x:c>
      <x:c r="L98" s="2581" t="s">
        <x:v>809</x:v>
      </x:c>
      <x:c r="M98" s="2581" t="s">
        <x:v>814</x:v>
      </x:c>
      <x:c r="N98" s="2383">
        <x:v>94</x:v>
      </x:c>
      <x:c r="O98" s="2394"/>
      <x:c r="P98" s="2530">
        <x:v>4.5999999999999999E-2</x:v>
      </x:c>
      <x:c r="Q98" s="2590" t="s">
        <x:v>787</x:v>
      </x:c>
      <x:c r="R98" s="2581" t="s">
        <x:v>687</x:v>
      </x:c>
      <x:c r="S98" s="2590" t="s">
        <x:v>760</x:v>
      </x:c>
      <x:c r="T98" s="2590" t="s">
        <x:v>831</x:v>
      </x:c>
      <x:c r="U98" s="2590" t="s">
        <x:v>762</x:v>
      </x:c>
      <x:c r="V98" s="2581" t="s">
        <x:v>763</x:v>
      </x:c>
      <x:c r="W98" s="861"/>
      <x:c r="X98" s="1155"/>
    </x:row>
    <x:row r="99" ht="39" customHeight="1">
      <x:c r="A99" s="2801">
        <x:v>45566</x:v>
      </x:c>
      <x:c r="B99" s="2797">
        <x:v>45657</x:v>
      </x:c>
      <x:c r="C99" s="2590" t="s">
        <x:v>131</x:v>
      </x:c>
      <x:c r="D99" s="2590" t="s">
        <x:v>829</x:v>
      </x:c>
      <x:c r="E99" s="2590" t="s">
        <x:v>830</x:v>
      </x:c>
      <x:c r="F99" s="2590" t="s">
        <x:v>535</x:v>
      </x:c>
      <x:c r="G99" s="2590" t="s">
        <x:v>776</x:v>
      </x:c>
      <x:c r="H99" s="2590" t="s">
        <x:v>782</x:v>
      </x:c>
      <x:c r="I99" s="2590" t="s">
        <x:v>783</x:v>
      </x:c>
      <x:c r="J99" s="2590" t="s">
        <x:v>784</x:v>
      </x:c>
      <x:c r="K99" s="2581" t="s">
        <x:v>685</x:v>
      </x:c>
      <x:c r="L99" s="2581" t="s">
        <x:v>793</x:v>
      </x:c>
      <x:c r="M99" s="2581" t="s">
        <x:v>703</x:v>
      </x:c>
      <x:c r="N99" s="2383">
        <x:v>86</x:v>
      </x:c>
      <x:c r="O99" s="2394"/>
      <x:c r="P99" s="2530">
        <x:v>4.2000000000000003E-2</x:v>
      </x:c>
      <x:c r="Q99" s="2590" t="s">
        <x:v>787</x:v>
      </x:c>
      <x:c r="R99" s="2581" t="s">
        <x:v>685</x:v>
      </x:c>
      <x:c r="S99" s="2590" t="s">
        <x:v>760</x:v>
      </x:c>
      <x:c r="T99" s="2590" t="s">
        <x:v>831</x:v>
      </x:c>
      <x:c r="U99" s="2590" t="s">
        <x:v>762</x:v>
      </x:c>
      <x:c r="V99" s="2581" t="s">
        <x:v>763</x:v>
      </x:c>
      <x:c r="W99" s="861"/>
      <x:c r="X99" s="1155"/>
    </x:row>
    <x:row r="100" ht="39" customHeight="1">
      <x:c r="A100" s="2801">
        <x:v>45566</x:v>
      </x:c>
      <x:c r="B100" s="2797">
        <x:v>45657</x:v>
      </x:c>
      <x:c r="C100" s="2590" t="s">
        <x:v>131</x:v>
      </x:c>
      <x:c r="D100" s="2590" t="s">
        <x:v>829</x:v>
      </x:c>
      <x:c r="E100" s="2590" t="s">
        <x:v>830</x:v>
      </x:c>
      <x:c r="F100" s="2590" t="s">
        <x:v>535</x:v>
      </x:c>
      <x:c r="G100" s="2590" t="s">
        <x:v>776</x:v>
      </x:c>
      <x:c r="H100" s="2590" t="s">
        <x:v>782</x:v>
      </x:c>
      <x:c r="I100" s="2590" t="s">
        <x:v>783</x:v>
      </x:c>
      <x:c r="J100" s="2590" t="s">
        <x:v>784</x:v>
      </x:c>
      <x:c r="K100" s="2581" t="s">
        <x:v>658</x:v>
      </x:c>
      <x:c r="L100" s="2581" t="s">
        <x:v>788</x:v>
      </x:c>
      <x:c r="M100" s="2581" t="s">
        <x:v>800</x:v>
      </x:c>
      <x:c r="N100" s="2383">
        <x:v>82</x:v>
      </x:c>
      <x:c r="O100" s="2394"/>
      <x:c r="P100" s="2530">
        <x:v>0.04</x:v>
      </x:c>
      <x:c r="Q100" s="2590" t="s">
        <x:v>787</x:v>
      </x:c>
      <x:c r="R100" s="2581" t="s">
        <x:v>658</x:v>
      </x:c>
      <x:c r="S100" s="2590" t="s">
        <x:v>760</x:v>
      </x:c>
      <x:c r="T100" s="2590" t="s">
        <x:v>831</x:v>
      </x:c>
      <x:c r="U100" s="2590" t="s">
        <x:v>762</x:v>
      </x:c>
      <x:c r="V100" s="2581" t="s">
        <x:v>763</x:v>
      </x:c>
      <x:c r="W100" s="861"/>
      <x:c r="X100" s="1155"/>
    </x:row>
    <x:row r="101" ht="39" customHeight="1">
      <x:c r="A101" s="2801">
        <x:v>45566</x:v>
      </x:c>
      <x:c r="B101" s="2797">
        <x:v>45657</x:v>
      </x:c>
      <x:c r="C101" s="2590" t="s">
        <x:v>131</x:v>
      </x:c>
      <x:c r="D101" s="2590" t="s">
        <x:v>829</x:v>
      </x:c>
      <x:c r="E101" s="2590" t="s">
        <x:v>830</x:v>
      </x:c>
      <x:c r="F101" s="2590" t="s">
        <x:v>535</x:v>
      </x:c>
      <x:c r="G101" s="2590" t="s">
        <x:v>776</x:v>
      </x:c>
      <x:c r="H101" s="2590" t="s">
        <x:v>782</x:v>
      </x:c>
      <x:c r="I101" s="2590" t="s">
        <x:v>783</x:v>
      </x:c>
      <x:c r="J101" s="2590" t="s">
        <x:v>784</x:v>
      </x:c>
      <x:c r="K101" s="2581" t="s">
        <x:v>692</x:v>
      </x:c>
      <x:c r="L101" s="2581" t="s">
        <x:v>821</x:v>
      </x:c>
      <x:c r="M101" s="2581" t="s">
        <x:v>822</x:v>
      </x:c>
      <x:c r="N101" s="2383">
        <x:v>76</x:v>
      </x:c>
      <x:c r="O101" s="2394"/>
      <x:c r="P101" s="2530">
        <x:v>3.6999999999999998E-2</x:v>
      </x:c>
      <x:c r="Q101" s="2590" t="s">
        <x:v>787</x:v>
      </x:c>
      <x:c r="R101" s="2581" t="s">
        <x:v>692</x:v>
      </x:c>
      <x:c r="S101" s="2590" t="s">
        <x:v>760</x:v>
      </x:c>
      <x:c r="T101" s="2590" t="s">
        <x:v>831</x:v>
      </x:c>
      <x:c r="U101" s="2590" t="s">
        <x:v>762</x:v>
      </x:c>
      <x:c r="V101" s="2581" t="s">
        <x:v>763</x:v>
      </x:c>
      <x:c r="W101" s="861"/>
      <x:c r="X101" s="1155"/>
    </x:row>
    <x:row r="102" ht="39" customHeight="1">
      <x:c r="A102" s="2801">
        <x:v>45566</x:v>
      </x:c>
      <x:c r="B102" s="2797">
        <x:v>45657</x:v>
      </x:c>
      <x:c r="C102" s="2590" t="s">
        <x:v>131</x:v>
      </x:c>
      <x:c r="D102" s="2590" t="s">
        <x:v>829</x:v>
      </x:c>
      <x:c r="E102" s="2590" t="s">
        <x:v>830</x:v>
      </x:c>
      <x:c r="F102" s="2590" t="s">
        <x:v>535</x:v>
      </x:c>
      <x:c r="G102" s="2590" t="s">
        <x:v>776</x:v>
      </x:c>
      <x:c r="H102" s="2590" t="s">
        <x:v>782</x:v>
      </x:c>
      <x:c r="I102" s="2590" t="s">
        <x:v>783</x:v>
      </x:c>
      <x:c r="J102" s="2590" t="s">
        <x:v>784</x:v>
      </x:c>
      <x:c r="K102" s="2581" t="s">
        <x:v>688</x:v>
      </x:c>
      <x:c r="L102" s="2581" t="s">
        <x:v>793</x:v>
      </x:c>
      <x:c r="M102" s="2581" t="s">
        <x:v>816</x:v>
      </x:c>
      <x:c r="N102" s="2383">
        <x:v>73</x:v>
      </x:c>
      <x:c r="O102" s="2394"/>
      <x:c r="P102" s="2530">
        <x:v>3.5000000000000003E-2</x:v>
      </x:c>
      <x:c r="Q102" s="2590" t="s">
        <x:v>787</x:v>
      </x:c>
      <x:c r="R102" s="2581" t="s">
        <x:v>688</x:v>
      </x:c>
      <x:c r="S102" s="2590" t="s">
        <x:v>760</x:v>
      </x:c>
      <x:c r="T102" s="2590" t="s">
        <x:v>831</x:v>
      </x:c>
      <x:c r="U102" s="2590" t="s">
        <x:v>762</x:v>
      </x:c>
      <x:c r="V102" s="2581" t="s">
        <x:v>763</x:v>
      </x:c>
      <x:c r="W102" s="861"/>
      <x:c r="X102" s="1155"/>
    </x:row>
    <x:row r="103" ht="39" customHeight="1">
      <x:c r="A103" s="2801">
        <x:v>45566</x:v>
      </x:c>
      <x:c r="B103" s="2797">
        <x:v>45657</x:v>
      </x:c>
      <x:c r="C103" s="2590" t="s">
        <x:v>131</x:v>
      </x:c>
      <x:c r="D103" s="2590" t="s">
        <x:v>829</x:v>
      </x:c>
      <x:c r="E103" s="2590" t="s">
        <x:v>830</x:v>
      </x:c>
      <x:c r="F103" s="2590" t="s">
        <x:v>535</x:v>
      </x:c>
      <x:c r="G103" s="2590" t="s">
        <x:v>776</x:v>
      </x:c>
      <x:c r="H103" s="2590" t="s">
        <x:v>782</x:v>
      </x:c>
      <x:c r="I103" s="2590" t="s">
        <x:v>783</x:v>
      </x:c>
      <x:c r="J103" s="2590" t="s">
        <x:v>784</x:v>
      </x:c>
      <x:c r="K103" s="2581" t="s">
        <x:v>690</x:v>
      </x:c>
      <x:c r="L103" s="2581" t="s">
        <x:v>809</x:v>
      </x:c>
      <x:c r="M103" s="2581" t="s">
        <x:v>815</x:v>
      </x:c>
      <x:c r="N103" s="2383">
        <x:v>72</x:v>
      </x:c>
      <x:c r="O103" s="2394"/>
      <x:c r="P103" s="2530">
        <x:v>3.5000000000000003E-2</x:v>
      </x:c>
      <x:c r="Q103" s="2590" t="s">
        <x:v>787</x:v>
      </x:c>
      <x:c r="R103" s="2581" t="s">
        <x:v>690</x:v>
      </x:c>
      <x:c r="S103" s="2590" t="s">
        <x:v>760</x:v>
      </x:c>
      <x:c r="T103" s="2590" t="s">
        <x:v>831</x:v>
      </x:c>
      <x:c r="U103" s="2590" t="s">
        <x:v>762</x:v>
      </x:c>
      <x:c r="V103" s="2581" t="s">
        <x:v>763</x:v>
      </x:c>
      <x:c r="W103" s="861"/>
      <x:c r="X103" s="1155"/>
    </x:row>
    <x:row r="104" ht="39" customHeight="1">
      <x:c r="A104" s="2801">
        <x:v>45566</x:v>
      </x:c>
      <x:c r="B104" s="2797">
        <x:v>45657</x:v>
      </x:c>
      <x:c r="C104" s="2590" t="s">
        <x:v>131</x:v>
      </x:c>
      <x:c r="D104" s="2590" t="s">
        <x:v>829</x:v>
      </x:c>
      <x:c r="E104" s="2590" t="s">
        <x:v>830</x:v>
      </x:c>
      <x:c r="F104" s="2590" t="s">
        <x:v>535</x:v>
      </x:c>
      <x:c r="G104" s="2590" t="s">
        <x:v>776</x:v>
      </x:c>
      <x:c r="H104" s="2590" t="s">
        <x:v>782</x:v>
      </x:c>
      <x:c r="I104" s="2590" t="s">
        <x:v>783</x:v>
      </x:c>
      <x:c r="J104" s="2590" t="s">
        <x:v>784</x:v>
      </x:c>
      <x:c r="K104" s="2581" t="s">
        <x:v>694</x:v>
      </x:c>
      <x:c r="L104" s="2581" t="s">
        <x:v>817</x:v>
      </x:c>
      <x:c r="M104" s="2581" t="s">
        <x:v>818</x:v>
      </x:c>
      <x:c r="N104" s="2383">
        <x:v>70</x:v>
      </x:c>
      <x:c r="O104" s="2394"/>
      <x:c r="P104" s="2530">
        <x:v>3.4000000000000002E-2</x:v>
      </x:c>
      <x:c r="Q104" s="2590" t="s">
        <x:v>787</x:v>
      </x:c>
      <x:c r="R104" s="2581" t="s">
        <x:v>694</x:v>
      </x:c>
      <x:c r="S104" s="2590" t="s">
        <x:v>760</x:v>
      </x:c>
      <x:c r="T104" s="2590" t="s">
        <x:v>831</x:v>
      </x:c>
      <x:c r="U104" s="2590" t="s">
        <x:v>762</x:v>
      </x:c>
      <x:c r="V104" s="2581" t="s">
        <x:v>763</x:v>
      </x:c>
      <x:c r="W104" s="861"/>
      <x:c r="X104" s="1155"/>
    </x:row>
    <x:row r="105" ht="39" customHeight="1">
      <x:c r="A105" s="2801">
        <x:v>45566</x:v>
      </x:c>
      <x:c r="B105" s="2797">
        <x:v>45657</x:v>
      </x:c>
      <x:c r="C105" s="2590" t="s">
        <x:v>131</x:v>
      </x:c>
      <x:c r="D105" s="2590" t="s">
        <x:v>829</x:v>
      </x:c>
      <x:c r="E105" s="2590" t="s">
        <x:v>830</x:v>
      </x:c>
      <x:c r="F105" s="2590" t="s">
        <x:v>535</x:v>
      </x:c>
      <x:c r="G105" s="2590" t="s">
        <x:v>776</x:v>
      </x:c>
      <x:c r="H105" s="2590" t="s">
        <x:v>782</x:v>
      </x:c>
      <x:c r="I105" s="2590" t="s">
        <x:v>783</x:v>
      </x:c>
      <x:c r="J105" s="2590" t="s">
        <x:v>784</x:v>
      </x:c>
      <x:c r="K105" s="2581" t="s">
        <x:v>689</x:v>
      </x:c>
      <x:c r="L105" s="2581" t="s">
        <x:v>809</x:v>
      </x:c>
      <x:c r="M105" s="2581" t="s">
        <x:v>813</x:v>
      </x:c>
      <x:c r="N105" s="2383">
        <x:v>69</x:v>
      </x:c>
      <x:c r="O105" s="2394"/>
      <x:c r="P105" s="2530">
        <x:v>3.3000000000000002E-2</x:v>
      </x:c>
      <x:c r="Q105" s="2590" t="s">
        <x:v>787</x:v>
      </x:c>
      <x:c r="R105" s="2581" t="s">
        <x:v>689</x:v>
      </x:c>
      <x:c r="S105" s="2590" t="s">
        <x:v>760</x:v>
      </x:c>
      <x:c r="T105" s="2590" t="s">
        <x:v>831</x:v>
      </x:c>
      <x:c r="U105" s="2590" t="s">
        <x:v>762</x:v>
      </x:c>
      <x:c r="V105" s="2581" t="s">
        <x:v>763</x:v>
      </x:c>
      <x:c r="W105" s="861"/>
      <x:c r="X105" s="1155"/>
    </x:row>
    <x:row r="106" ht="39" customHeight="1">
      <x:c r="A106" s="2801">
        <x:v>45566</x:v>
      </x:c>
      <x:c r="B106" s="2797">
        <x:v>45657</x:v>
      </x:c>
      <x:c r="C106" s="2590" t="s">
        <x:v>131</x:v>
      </x:c>
      <x:c r="D106" s="2590" t="s">
        <x:v>829</x:v>
      </x:c>
      <x:c r="E106" s="2590" t="s">
        <x:v>830</x:v>
      </x:c>
      <x:c r="F106" s="2590" t="s">
        <x:v>535</x:v>
      </x:c>
      <x:c r="G106" s="2590" t="s">
        <x:v>776</x:v>
      </x:c>
      <x:c r="H106" s="2590" t="s">
        <x:v>782</x:v>
      </x:c>
      <x:c r="I106" s="2590" t="s">
        <x:v>783</x:v>
      </x:c>
      <x:c r="J106" s="2590" t="s">
        <x:v>784</x:v>
      </x:c>
      <x:c r="K106" s="2581" t="s">
        <x:v>693</x:v>
      </x:c>
      <x:c r="L106" s="2581" t="s">
        <x:v>823</x:v>
      </x:c>
      <x:c r="M106" s="2581" t="s">
        <x:v>824</x:v>
      </x:c>
      <x:c r="N106" s="2383">
        <x:v>59</x:v>
      </x:c>
      <x:c r="O106" s="2394"/>
      <x:c r="P106" s="2530">
        <x:v>2.9000000000000001E-2</x:v>
      </x:c>
      <x:c r="Q106" s="2590" t="s">
        <x:v>787</x:v>
      </x:c>
      <x:c r="R106" s="2581" t="s">
        <x:v>693</x:v>
      </x:c>
      <x:c r="S106" s="2590" t="s">
        <x:v>760</x:v>
      </x:c>
      <x:c r="T106" s="2590" t="s">
        <x:v>831</x:v>
      </x:c>
      <x:c r="U106" s="2590" t="s">
        <x:v>762</x:v>
      </x:c>
      <x:c r="V106" s="2581" t="s">
        <x:v>763</x:v>
      </x:c>
      <x:c r="W106" s="861"/>
      <x:c r="X106" s="1155"/>
    </x:row>
    <x:row r="107" ht="39" customHeight="1">
      <x:c r="A107" s="2801">
        <x:v>45566</x:v>
      </x:c>
      <x:c r="B107" s="2797">
        <x:v>45657</x:v>
      </x:c>
      <x:c r="C107" s="2590" t="s">
        <x:v>131</x:v>
      </x:c>
      <x:c r="D107" s="2590" t="s">
        <x:v>829</x:v>
      </x:c>
      <x:c r="E107" s="2590" t="s">
        <x:v>830</x:v>
      </x:c>
      <x:c r="F107" s="2590" t="s">
        <x:v>535</x:v>
      </x:c>
      <x:c r="G107" s="2590" t="s">
        <x:v>776</x:v>
      </x:c>
      <x:c r="H107" s="2590" t="s">
        <x:v>782</x:v>
      </x:c>
      <x:c r="I107" s="2590" t="s">
        <x:v>783</x:v>
      </x:c>
      <x:c r="J107" s="2590" t="s">
        <x:v>784</x:v>
      </x:c>
      <x:c r="K107" s="2581" t="s">
        <x:v>691</x:v>
      </x:c>
      <x:c r="L107" s="2581" t="s">
        <x:v>819</x:v>
      </x:c>
      <x:c r="M107" s="2581" t="s">
        <x:v>820</x:v>
      </x:c>
      <x:c r="N107" s="2383">
        <x:v>58</x:v>
      </x:c>
      <x:c r="O107" s="2394"/>
      <x:c r="P107" s="2530">
        <x:v>2.8000000000000001E-2</x:v>
      </x:c>
      <x:c r="Q107" s="2590" t="s">
        <x:v>787</x:v>
      </x:c>
      <x:c r="R107" s="2581" t="s">
        <x:v>691</x:v>
      </x:c>
      <x:c r="S107" s="2590" t="s">
        <x:v>760</x:v>
      </x:c>
      <x:c r="T107" s="2590" t="s">
        <x:v>831</x:v>
      </x:c>
      <x:c r="U107" s="2590" t="s">
        <x:v>762</x:v>
      </x:c>
      <x:c r="V107" s="2581" t="s">
        <x:v>763</x:v>
      </x:c>
      <x:c r="W107" s="861"/>
      <x:c r="X107" s="1155"/>
    </x:row>
    <x:row r="108" ht="39" customHeight="1">
      <x:c r="A108" s="2801">
        <x:v>45566</x:v>
      </x:c>
      <x:c r="B108" s="2797">
        <x:v>45657</x:v>
      </x:c>
      <x:c r="C108" s="2590" t="s">
        <x:v>131</x:v>
      </x:c>
      <x:c r="D108" s="2590" t="s">
        <x:v>829</x:v>
      </x:c>
      <x:c r="E108" s="2590" t="s">
        <x:v>830</x:v>
      </x:c>
      <x:c r="F108" s="2590" t="s">
        <x:v>535</x:v>
      </x:c>
      <x:c r="G108" s="2590" t="s">
        <x:v>776</x:v>
      </x:c>
      <x:c r="H108" s="2590" t="s">
        <x:v>782</x:v>
      </x:c>
      <x:c r="I108" s="2590" t="s">
        <x:v>783</x:v>
      </x:c>
      <x:c r="J108" s="2590" t="s">
        <x:v>784</x:v>
      </x:c>
      <x:c r="K108" s="2581" t="s">
        <x:v>661</x:v>
      </x:c>
      <x:c r="L108" s="2581" t="s">
        <x:v>795</x:v>
      </x:c>
      <x:c r="M108" s="2581" t="s">
        <x:v>797</x:v>
      </x:c>
      <x:c r="N108" s="2383">
        <x:v>53</x:v>
      </x:c>
      <x:c r="O108" s="2394"/>
      <x:c r="P108" s="2530">
        <x:v>2.5999999999999999E-2</x:v>
      </x:c>
      <x:c r="Q108" s="2590" t="s">
        <x:v>787</x:v>
      </x:c>
      <x:c r="R108" s="2581" t="s">
        <x:v>661</x:v>
      </x:c>
      <x:c r="S108" s="2590" t="s">
        <x:v>760</x:v>
      </x:c>
      <x:c r="T108" s="2590" t="s">
        <x:v>831</x:v>
      </x:c>
      <x:c r="U108" s="2590" t="s">
        <x:v>762</x:v>
      </x:c>
      <x:c r="V108" s="2581" t="s">
        <x:v>763</x:v>
      </x:c>
      <x:c r="W108" s="861"/>
      <x:c r="X108" s="1155"/>
    </x:row>
    <x:row r="109" ht="39" customHeight="1">
      <x:c r="A109" s="2801">
        <x:v>45566</x:v>
      </x:c>
      <x:c r="B109" s="2797">
        <x:v>45657</x:v>
      </x:c>
      <x:c r="C109" s="2590" t="s">
        <x:v>131</x:v>
      </x:c>
      <x:c r="D109" s="2590" t="s">
        <x:v>829</x:v>
      </x:c>
      <x:c r="E109" s="2590" t="s">
        <x:v>830</x:v>
      </x:c>
      <x:c r="F109" s="2590" t="s">
        <x:v>535</x:v>
      </x:c>
      <x:c r="G109" s="2590" t="s">
        <x:v>776</x:v>
      </x:c>
      <x:c r="H109" s="2590" t="s">
        <x:v>782</x:v>
      </x:c>
      <x:c r="I109" s="2590" t="s">
        <x:v>783</x:v>
      </x:c>
      <x:c r="J109" s="2590" t="s">
        <x:v>784</x:v>
      </x:c>
      <x:c r="K109" s="2581" t="s">
        <x:v>663</x:v>
      </x:c>
      <x:c r="L109" s="2581" t="s">
        <x:v>795</x:v>
      </x:c>
      <x:c r="M109" s="2581" t="s">
        <x:v>804</x:v>
      </x:c>
      <x:c r="N109" s="2383">
        <x:v>48</x:v>
      </x:c>
      <x:c r="O109" s="2394"/>
      <x:c r="P109" s="2530">
        <x:v>2.3E-2</x:v>
      </x:c>
      <x:c r="Q109" s="2590" t="s">
        <x:v>787</x:v>
      </x:c>
      <x:c r="R109" s="2581" t="s">
        <x:v>663</x:v>
      </x:c>
      <x:c r="S109" s="2590" t="s">
        <x:v>760</x:v>
      </x:c>
      <x:c r="T109" s="2590" t="s">
        <x:v>831</x:v>
      </x:c>
      <x:c r="U109" s="2590" t="s">
        <x:v>762</x:v>
      </x:c>
      <x:c r="V109" s="2581" t="s">
        <x:v>763</x:v>
      </x:c>
      <x:c r="W109" s="861"/>
      <x:c r="X109" s="1155"/>
    </x:row>
    <x:row r="110" ht="39" customHeight="1">
      <x:c r="A110" s="2801">
        <x:v>45566</x:v>
      </x:c>
      <x:c r="B110" s="2797">
        <x:v>45657</x:v>
      </x:c>
      <x:c r="C110" s="2590" t="s">
        <x:v>131</x:v>
      </x:c>
      <x:c r="D110" s="2590" t="s">
        <x:v>829</x:v>
      </x:c>
      <x:c r="E110" s="2590" t="s">
        <x:v>830</x:v>
      </x:c>
      <x:c r="F110" s="2590" t="s">
        <x:v>535</x:v>
      </x:c>
      <x:c r="G110" s="2590" t="s">
        <x:v>776</x:v>
      </x:c>
      <x:c r="H110" s="2590" t="s">
        <x:v>782</x:v>
      </x:c>
      <x:c r="I110" s="2590" t="s">
        <x:v>783</x:v>
      </x:c>
      <x:c r="J110" s="2590" t="s">
        <x:v>784</x:v>
      </x:c>
      <x:c r="K110" s="2581" t="s">
        <x:v>826</x:v>
      </x:c>
      <x:c r="L110" s="2581" t="s">
        <x:v>819</x:v>
      </x:c>
      <x:c r="M110" s="2581" t="s">
        <x:v>827</x:v>
      </x:c>
      <x:c r="N110" s="2383">
        <x:v>48</x:v>
      </x:c>
      <x:c r="O110" s="2394"/>
      <x:c r="P110" s="2530">
        <x:v>2.3E-2</x:v>
      </x:c>
      <x:c r="Q110" s="2590" t="s">
        <x:v>787</x:v>
      </x:c>
      <x:c r="R110" s="2581" t="s">
        <x:v>826</x:v>
      </x:c>
      <x:c r="S110" s="2590" t="s">
        <x:v>760</x:v>
      </x:c>
      <x:c r="T110" s="2590" t="s">
        <x:v>831</x:v>
      </x:c>
      <x:c r="U110" s="2590" t="s">
        <x:v>762</x:v>
      </x:c>
      <x:c r="V110" s="2581" t="s">
        <x:v>763</x:v>
      </x:c>
      <x:c r="W110" s="861"/>
      <x:c r="X110" s="1155"/>
    </x:row>
    <x:row r="111" ht="39" customHeight="1">
      <x:c r="A111" s="2801">
        <x:v>45566</x:v>
      </x:c>
      <x:c r="B111" s="2797">
        <x:v>45657</x:v>
      </x:c>
      <x:c r="C111" s="2590" t="s">
        <x:v>131</x:v>
      </x:c>
      <x:c r="D111" s="2590" t="s">
        <x:v>829</x:v>
      </x:c>
      <x:c r="E111" s="2590" t="s">
        <x:v>830</x:v>
      </x:c>
      <x:c r="F111" s="2590" t="s">
        <x:v>535</x:v>
      </x:c>
      <x:c r="G111" s="2590" t="s">
        <x:v>776</x:v>
      </x:c>
      <x:c r="H111" s="2590" t="s">
        <x:v>782</x:v>
      </x:c>
      <x:c r="I111" s="2590" t="s">
        <x:v>783</x:v>
      </x:c>
      <x:c r="J111" s="2590" t="s">
        <x:v>784</x:v>
      </x:c>
      <x:c r="K111" s="2581" t="s">
        <x:v>662</x:v>
      </x:c>
      <x:c r="L111" s="2581" t="s">
        <x:v>788</x:v>
      </x:c>
      <x:c r="M111" s="2581" t="s">
        <x:v>792</x:v>
      </x:c>
      <x:c r="N111" s="2383">
        <x:v>44</x:v>
      </x:c>
      <x:c r="O111" s="2394"/>
      <x:c r="P111" s="2530">
        <x:v>2.1000000000000001E-2</x:v>
      </x:c>
      <x:c r="Q111" s="2590" t="s">
        <x:v>787</x:v>
      </x:c>
      <x:c r="R111" s="2581" t="s">
        <x:v>662</x:v>
      </x:c>
      <x:c r="S111" s="2590" t="s">
        <x:v>760</x:v>
      </x:c>
      <x:c r="T111" s="2590" t="s">
        <x:v>831</x:v>
      </x:c>
      <x:c r="U111" s="2590" t="s">
        <x:v>762</x:v>
      </x:c>
      <x:c r="V111" s="2581" t="s">
        <x:v>763</x:v>
      </x:c>
      <x:c r="W111" s="861"/>
      <x:c r="X111" s="1155"/>
    </x:row>
    <x:row r="112" ht="39" customHeight="1">
      <x:c r="A112" s="2801">
        <x:v>45566</x:v>
      </x:c>
      <x:c r="B112" s="2797">
        <x:v>45657</x:v>
      </x:c>
      <x:c r="C112" s="2590" t="s">
        <x:v>131</x:v>
      </x:c>
      <x:c r="D112" s="2590" t="s">
        <x:v>829</x:v>
      </x:c>
      <x:c r="E112" s="2590" t="s">
        <x:v>830</x:v>
      </x:c>
      <x:c r="F112" s="2590" t="s">
        <x:v>535</x:v>
      </x:c>
      <x:c r="G112" s="2590" t="s">
        <x:v>776</x:v>
      </x:c>
      <x:c r="H112" s="2590" t="s">
        <x:v>782</x:v>
      </x:c>
      <x:c r="I112" s="2590" t="s">
        <x:v>783</x:v>
      </x:c>
      <x:c r="J112" s="2590" t="s">
        <x:v>784</x:v>
      </x:c>
      <x:c r="K112" s="2581" t="s">
        <x:v>695</x:v>
      </x:c>
      <x:c r="L112" s="2581" t="s">
        <x:v>823</x:v>
      </x:c>
      <x:c r="M112" s="2581" t="s">
        <x:v>839</x:v>
      </x:c>
      <x:c r="N112" s="2383">
        <x:v>38</x:v>
      </x:c>
      <x:c r="O112" s="2394"/>
      <x:c r="P112" s="2530">
        <x:v>1.7999999999999999E-2</x:v>
      </x:c>
      <x:c r="Q112" s="2590" t="s">
        <x:v>787</x:v>
      </x:c>
      <x:c r="R112" s="2581" t="s">
        <x:v>695</x:v>
      </x:c>
      <x:c r="S112" s="2590" t="s">
        <x:v>760</x:v>
      </x:c>
      <x:c r="T112" s="2590" t="s">
        <x:v>831</x:v>
      </x:c>
      <x:c r="U112" s="2590" t="s">
        <x:v>762</x:v>
      </x:c>
      <x:c r="V112" s="2581" t="s">
        <x:v>763</x:v>
      </x:c>
      <x:c r="W112" s="861"/>
      <x:c r="X112" s="1155"/>
    </x:row>
    <x:row r="113" ht="39" customHeight="1">
      <x:c r="A113" s="2801">
        <x:v>45566</x:v>
      </x:c>
      <x:c r="B113" s="2797">
        <x:v>45657</x:v>
      </x:c>
      <x:c r="C113" s="2590" t="s">
        <x:v>131</x:v>
      </x:c>
      <x:c r="D113" s="2590" t="s">
        <x:v>829</x:v>
      </x:c>
      <x:c r="E113" s="2590" t="s">
        <x:v>830</x:v>
      </x:c>
      <x:c r="F113" s="2590" t="s">
        <x:v>535</x:v>
      </x:c>
      <x:c r="G113" s="2590" t="s">
        <x:v>776</x:v>
      </x:c>
      <x:c r="H113" s="2590" t="s">
        <x:v>782</x:v>
      </x:c>
      <x:c r="I113" s="2590" t="s">
        <x:v>783</x:v>
      </x:c>
      <x:c r="J113" s="2590" t="s">
        <x:v>784</x:v>
      </x:c>
      <x:c r="K113" s="2581" t="s">
        <x:v>840</x:v>
      </x:c>
      <x:c r="L113" s="2581" t="s">
        <x:v>795</x:v>
      </x:c>
      <x:c r="M113" s="2581" t="s">
        <x:v>841</x:v>
      </x:c>
      <x:c r="N113" s="2383">
        <x:v>33</x:v>
      </x:c>
      <x:c r="O113" s="2394"/>
      <x:c r="P113" s="2530">
        <x:v>1.6E-2</x:v>
      </x:c>
      <x:c r="Q113" s="2590" t="s">
        <x:v>787</x:v>
      </x:c>
      <x:c r="R113" s="2581" t="s">
        <x:v>840</x:v>
      </x:c>
      <x:c r="S113" s="2590" t="s">
        <x:v>760</x:v>
      </x:c>
      <x:c r="T113" s="2590" t="s">
        <x:v>831</x:v>
      </x:c>
      <x:c r="U113" s="2590" t="s">
        <x:v>762</x:v>
      </x:c>
      <x:c r="V113" s="2581" t="s">
        <x:v>763</x:v>
      </x:c>
      <x:c r="W113" s="861"/>
      <x:c r="X113" s="1155"/>
    </x:row>
    <x:row r="114" ht="39" customHeight="1">
      <x:c r="A114" s="2801">
        <x:v>45658</x:v>
      </x:c>
      <x:c r="B114" s="2797">
        <x:v>45747</x:v>
      </x:c>
      <x:c r="C114" s="2590" t="s">
        <x:v>131</x:v>
      </x:c>
      <x:c r="D114" s="2590" t="s">
        <x:v>842</x:v>
      </x:c>
      <x:c r="E114" s="2590" t="s">
        <x:v>843</x:v>
      </x:c>
      <x:c r="F114" s="2590" t="s">
        <x:v>535</x:v>
      </x:c>
      <x:c r="G114" s="2590" t="s">
        <x:v>62</x:v>
      </x:c>
      <x:c r="H114" s="2590" t="s">
        <x:v>756</x:v>
      </x:c>
      <x:c r="I114" s="2590" t="s">
        <x:v>757</x:v>
      </x:c>
      <x:c r="J114" s="2590" t="s">
        <x:v>758</x:v>
      </x:c>
      <x:c r="K114" s="2581" t="s">
        <x:v>759</x:v>
      </x:c>
      <x:c r="L114" s="2818"/>
      <x:c r="M114" s="2818"/>
      <x:c r="N114" s="2383">
        <x:v>1606</x:v>
      </x:c>
      <x:c r="O114" s="2394"/>
      <x:c r="P114" s="2530"/>
      <x:c r="Q114" s="2590" t="s">
        <x:v>320</x:v>
      </x:c>
      <x:c r="R114" s="2581" t="s">
        <x:v>757</x:v>
      </x:c>
      <x:c r="S114" s="2590" t="s">
        <x:v>760</x:v>
      </x:c>
      <x:c r="T114" s="2590" t="s">
        <x:v>844</x:v>
      </x:c>
      <x:c r="U114" s="2590" t="s">
        <x:v>762</x:v>
      </x:c>
      <x:c r="V114" s="2581" t="s">
        <x:v>763</x:v>
      </x:c>
      <x:c r="W114" s="861"/>
      <x:c r="X114" s="1155"/>
    </x:row>
    <x:row r="115" ht="39" customHeight="1">
      <x:c r="A115" s="2801">
        <x:v>45658</x:v>
      </x:c>
      <x:c r="B115" s="2797">
        <x:v>45747</x:v>
      </x:c>
      <x:c r="C115" s="2590" t="s">
        <x:v>131</x:v>
      </x:c>
      <x:c r="D115" s="2590" t="s">
        <x:v>842</x:v>
      </x:c>
      <x:c r="E115" s="2590" t="s">
        <x:v>843</x:v>
      </x:c>
      <x:c r="F115" s="2590" t="s">
        <x:v>535</x:v>
      </x:c>
      <x:c r="G115" s="2590" t="s">
        <x:v>62</x:v>
      </x:c>
      <x:c r="H115" s="2590" t="s">
        <x:v>764</x:v>
      </x:c>
      <x:c r="I115" s="2590" t="s">
        <x:v>765</x:v>
      </x:c>
      <x:c r="J115" s="2590" t="s">
        <x:v>758</x:v>
      </x:c>
      <x:c r="K115" s="2581" t="s">
        <x:v>759</x:v>
      </x:c>
      <x:c r="L115" s="2818"/>
      <x:c r="M115" s="2818"/>
      <x:c r="N115" s="2383"/>
      <x:c r="O115" s="2394">
        <x:v>0.9</x:v>
      </x:c>
      <x:c r="P115" s="2530"/>
      <x:c r="Q115" s="2590" t="s">
        <x:v>766</x:v>
      </x:c>
      <x:c r="R115" s="2581" t="s">
        <x:v>767</x:v>
      </x:c>
      <x:c r="S115" s="2590" t="s">
        <x:v>760</x:v>
      </x:c>
      <x:c r="T115" s="2590" t="s">
        <x:v>844</x:v>
      </x:c>
      <x:c r="U115" s="2590" t="s">
        <x:v>762</x:v>
      </x:c>
      <x:c r="V115" s="2581" t="s">
        <x:v>763</x:v>
      </x:c>
      <x:c r="W115" s="861"/>
      <x:c r="X115" s="1155"/>
    </x:row>
    <x:row r="116" ht="39" customHeight="1">
      <x:c r="A116" s="2801">
        <x:v>45658</x:v>
      </x:c>
      <x:c r="B116" s="2797">
        <x:v>45747</x:v>
      </x:c>
      <x:c r="C116" s="2590" t="s">
        <x:v>131</x:v>
      </x:c>
      <x:c r="D116" s="2590" t="s">
        <x:v>842</x:v>
      </x:c>
      <x:c r="E116" s="2590" t="s">
        <x:v>843</x:v>
      </x:c>
      <x:c r="F116" s="2590" t="s">
        <x:v>535</x:v>
      </x:c>
      <x:c r="G116" s="2590" t="s">
        <x:v>768</x:v>
      </x:c>
      <x:c r="H116" s="2590" t="s">
        <x:v>756</x:v>
      </x:c>
      <x:c r="I116" s="2590" t="s">
        <x:v>757</x:v>
      </x:c>
      <x:c r="J116" s="2590" t="s">
        <x:v>769</x:v>
      </x:c>
      <x:c r="K116" s="2581" t="s">
        <x:v>70</x:v>
      </x:c>
      <x:c r="L116" s="2818"/>
      <x:c r="M116" s="2818"/>
      <x:c r="N116" s="2383">
        <x:v>1020</x:v>
      </x:c>
      <x:c r="O116" s="2394"/>
      <x:c r="P116" s="2530"/>
      <x:c r="Q116" s="2590" t="s">
        <x:v>320</x:v>
      </x:c>
      <x:c r="R116" s="2581" t="s">
        <x:v>770</x:v>
      </x:c>
      <x:c r="S116" s="2590" t="s">
        <x:v>760</x:v>
      </x:c>
      <x:c r="T116" s="2590" t="s">
        <x:v>844</x:v>
      </x:c>
      <x:c r="U116" s="2590" t="s">
        <x:v>762</x:v>
      </x:c>
      <x:c r="V116" s="2581" t="s">
        <x:v>763</x:v>
      </x:c>
      <x:c r="W116" s="861"/>
      <x:c r="X116" s="1155"/>
    </x:row>
    <x:row r="117" ht="39" customHeight="1">
      <x:c r="A117" s="2801">
        <x:v>45658</x:v>
      </x:c>
      <x:c r="B117" s="2797">
        <x:v>45747</x:v>
      </x:c>
      <x:c r="C117" s="2590" t="s">
        <x:v>131</x:v>
      </x:c>
      <x:c r="D117" s="2590" t="s">
        <x:v>842</x:v>
      </x:c>
      <x:c r="E117" s="2590" t="s">
        <x:v>843</x:v>
      </x:c>
      <x:c r="F117" s="2590" t="s">
        <x:v>535</x:v>
      </x:c>
      <x:c r="G117" s="2590" t="s">
        <x:v>768</x:v>
      </x:c>
      <x:c r="H117" s="2590" t="s">
        <x:v>764</x:v>
      </x:c>
      <x:c r="I117" s="2590" t="s">
        <x:v>765</x:v>
      </x:c>
      <x:c r="J117" s="2590" t="s">
        <x:v>769</x:v>
      </x:c>
      <x:c r="K117" s="2581" t="s">
        <x:v>70</x:v>
      </x:c>
      <x:c r="L117" s="2818"/>
      <x:c r="M117" s="2818"/>
      <x:c r="N117" s="2383"/>
      <x:c r="O117" s="2394">
        <x:v>35.200000000000003</x:v>
      </x:c>
      <x:c r="P117" s="2530"/>
      <x:c r="Q117" s="2590" t="s">
        <x:v>771</x:v>
      </x:c>
      <x:c r="R117" s="2581" t="s">
        <x:v>772</x:v>
      </x:c>
      <x:c r="S117" s="2590" t="s">
        <x:v>760</x:v>
      </x:c>
      <x:c r="T117" s="2590" t="s">
        <x:v>844</x:v>
      </x:c>
      <x:c r="U117" s="2590" t="s">
        <x:v>762</x:v>
      </x:c>
      <x:c r="V117" s="2581" t="s">
        <x:v>763</x:v>
      </x:c>
      <x:c r="W117" s="861"/>
      <x:c r="X117" s="1155"/>
    </x:row>
    <x:row r="118" ht="39" customHeight="1">
      <x:c r="A118" s="2801">
        <x:v>45658</x:v>
      </x:c>
      <x:c r="B118" s="2797">
        <x:v>45747</x:v>
      </x:c>
      <x:c r="C118" s="2590" t="s">
        <x:v>131</x:v>
      </x:c>
      <x:c r="D118" s="2590" t="s">
        <x:v>842</x:v>
      </x:c>
      <x:c r="E118" s="2590" t="s">
        <x:v>843</x:v>
      </x:c>
      <x:c r="F118" s="2590" t="s">
        <x:v>535</x:v>
      </x:c>
      <x:c r="G118" s="2590" t="s">
        <x:v>773</x:v>
      </x:c>
      <x:c r="H118" s="2590" t="s">
        <x:v>756</x:v>
      </x:c>
      <x:c r="I118" s="2590" t="s">
        <x:v>757</x:v>
      </x:c>
      <x:c r="J118" s="2590" t="s">
        <x:v>769</x:v>
      </x:c>
      <x:c r="K118" s="2581" t="s">
        <x:v>77</x:v>
      </x:c>
      <x:c r="L118" s="2818"/>
      <x:c r="M118" s="2818"/>
      <x:c r="N118" s="2383">
        <x:v>127</x:v>
      </x:c>
      <x:c r="O118" s="2394"/>
      <x:c r="P118" s="2530"/>
      <x:c r="Q118" s="2590" t="s">
        <x:v>320</x:v>
      </x:c>
      <x:c r="R118" s="2581" t="s">
        <x:v>774</x:v>
      </x:c>
      <x:c r="S118" s="2590" t="s">
        <x:v>760</x:v>
      </x:c>
      <x:c r="T118" s="2590" t="s">
        <x:v>844</x:v>
      </x:c>
      <x:c r="U118" s="2590" t="s">
        <x:v>762</x:v>
      </x:c>
      <x:c r="V118" s="2581" t="s">
        <x:v>763</x:v>
      </x:c>
      <x:c r="W118" s="861"/>
      <x:c r="X118" s="1155"/>
    </x:row>
    <x:row r="119" ht="39" customHeight="1">
      <x:c r="A119" s="2801">
        <x:v>45658</x:v>
      </x:c>
      <x:c r="B119" s="2797">
        <x:v>45747</x:v>
      </x:c>
      <x:c r="C119" s="2590" t="s">
        <x:v>131</x:v>
      </x:c>
      <x:c r="D119" s="2590" t="s">
        <x:v>842</x:v>
      </x:c>
      <x:c r="E119" s="2590" t="s">
        <x:v>843</x:v>
      </x:c>
      <x:c r="F119" s="2590" t="s">
        <x:v>535</x:v>
      </x:c>
      <x:c r="G119" s="2590" t="s">
        <x:v>773</x:v>
      </x:c>
      <x:c r="H119" s="2590" t="s">
        <x:v>764</x:v>
      </x:c>
      <x:c r="I119" s="2590" t="s">
        <x:v>765</x:v>
      </x:c>
      <x:c r="J119" s="2590" t="s">
        <x:v>769</x:v>
      </x:c>
      <x:c r="K119" s="2581" t="s">
        <x:v>77</x:v>
      </x:c>
      <x:c r="L119" s="2818"/>
      <x:c r="M119" s="2818"/>
      <x:c r="N119" s="2383"/>
      <x:c r="O119" s="2394">
        <x:v>1.5</x:v>
      </x:c>
      <x:c r="P119" s="2530"/>
      <x:c r="Q119" s="2590" t="s">
        <x:v>771</x:v>
      </x:c>
      <x:c r="R119" s="2581" t="s">
        <x:v>775</x:v>
      </x:c>
      <x:c r="S119" s="2590" t="s">
        <x:v>760</x:v>
      </x:c>
      <x:c r="T119" s="2590" t="s">
        <x:v>844</x:v>
      </x:c>
      <x:c r="U119" s="2590" t="s">
        <x:v>762</x:v>
      </x:c>
      <x:c r="V119" s="2581" t="s">
        <x:v>763</x:v>
      </x:c>
      <x:c r="W119" s="861"/>
      <x:c r="X119" s="1155"/>
    </x:row>
    <x:row r="120" ht="39" customHeight="1">
      <x:c r="A120" s="2801">
        <x:v>45658</x:v>
      </x:c>
      <x:c r="B120" s="2797">
        <x:v>45747</x:v>
      </x:c>
      <x:c r="C120" s="2590" t="s">
        <x:v>131</x:v>
      </x:c>
      <x:c r="D120" s="2590" t="s">
        <x:v>842</x:v>
      </x:c>
      <x:c r="E120" s="2590" t="s">
        <x:v>843</x:v>
      </x:c>
      <x:c r="F120" s="2590" t="s">
        <x:v>535</x:v>
      </x:c>
      <x:c r="G120" s="2590" t="s">
        <x:v>776</x:v>
      </x:c>
      <x:c r="H120" s="2590" t="s">
        <x:v>756</x:v>
      </x:c>
      <x:c r="I120" s="2590" t="s">
        <x:v>757</x:v>
      </x:c>
      <x:c r="J120" s="2590" t="s">
        <x:v>758</x:v>
      </x:c>
      <x:c r="K120" s="2581" t="s">
        <x:v>777</x:v>
      </x:c>
      <x:c r="L120" s="2818"/>
      <x:c r="M120" s="2818"/>
      <x:c r="N120" s="2383">
        <x:v>1147</x:v>
      </x:c>
      <x:c r="O120" s="2394"/>
      <x:c r="P120" s="2530"/>
      <x:c r="Q120" s="2590" t="s">
        <x:v>320</x:v>
      </x:c>
      <x:c r="R120" s="2581" t="s">
        <x:v>778</x:v>
      </x:c>
      <x:c r="S120" s="2590" t="s">
        <x:v>760</x:v>
      </x:c>
      <x:c r="T120" s="2590" t="s">
        <x:v>844</x:v>
      </x:c>
      <x:c r="U120" s="2590" t="s">
        <x:v>762</x:v>
      </x:c>
      <x:c r="V120" s="2581" t="s">
        <x:v>763</x:v>
      </x:c>
      <x:c r="W120" s="861"/>
      <x:c r="X120" s="1155"/>
    </x:row>
    <x:row r="121" ht="39" customHeight="1">
      <x:c r="A121" s="2801">
        <x:v>45658</x:v>
      </x:c>
      <x:c r="B121" s="2797">
        <x:v>45747</x:v>
      </x:c>
      <x:c r="C121" s="2590" t="s">
        <x:v>131</x:v>
      </x:c>
      <x:c r="D121" s="2590" t="s">
        <x:v>842</x:v>
      </x:c>
      <x:c r="E121" s="2590" t="s">
        <x:v>843</x:v>
      </x:c>
      <x:c r="F121" s="2590" t="s">
        <x:v>535</x:v>
      </x:c>
      <x:c r="G121" s="2590" t="s">
        <x:v>62</x:v>
      </x:c>
      <x:c r="H121" s="2590" t="s">
        <x:v>756</x:v>
      </x:c>
      <x:c r="I121" s="2590" t="s">
        <x:v>779</x:v>
      </x:c>
      <x:c r="J121" s="2590" t="s">
        <x:v>780</x:v>
      </x:c>
      <x:c r="K121" s="2581" t="s">
        <x:v>647</x:v>
      </x:c>
      <x:c r="L121" s="2818"/>
      <x:c r="M121" s="2818"/>
      <x:c r="N121" s="2383">
        <x:v>771</x:v>
      </x:c>
      <x:c r="O121" s="2394"/>
      <x:c r="P121" s="2530"/>
      <x:c r="Q121" s="2590" t="s">
        <x:v>320</x:v>
      </x:c>
      <x:c r="R121" s="2581" t="s">
        <x:v>647</x:v>
      </x:c>
      <x:c r="S121" s="2590" t="s">
        <x:v>760</x:v>
      </x:c>
      <x:c r="T121" s="2590" t="s">
        <x:v>844</x:v>
      </x:c>
      <x:c r="U121" s="2590" t="s">
        <x:v>762</x:v>
      </x:c>
      <x:c r="V121" s="2581" t="s">
        <x:v>763</x:v>
      </x:c>
      <x:c r="W121" s="861"/>
      <x:c r="X121" s="1155"/>
    </x:row>
    <x:row r="122" ht="39" customHeight="1">
      <x:c r="A122" s="2801">
        <x:v>45658</x:v>
      </x:c>
      <x:c r="B122" s="2797">
        <x:v>45747</x:v>
      </x:c>
      <x:c r="C122" s="2590" t="s">
        <x:v>131</x:v>
      </x:c>
      <x:c r="D122" s="2590" t="s">
        <x:v>842</x:v>
      </x:c>
      <x:c r="E122" s="2590" t="s">
        <x:v>843</x:v>
      </x:c>
      <x:c r="F122" s="2590" t="s">
        <x:v>535</x:v>
      </x:c>
      <x:c r="G122" s="2590" t="s">
        <x:v>62</x:v>
      </x:c>
      <x:c r="H122" s="2590" t="s">
        <x:v>756</x:v>
      </x:c>
      <x:c r="I122" s="2590" t="s">
        <x:v>779</x:v>
      </x:c>
      <x:c r="J122" s="2590" t="s">
        <x:v>780</x:v>
      </x:c>
      <x:c r="K122" s="2581" t="s">
        <x:v>648</x:v>
      </x:c>
      <x:c r="L122" s="2818"/>
      <x:c r="M122" s="2818"/>
      <x:c r="N122" s="2383">
        <x:v>518</x:v>
      </x:c>
      <x:c r="O122" s="2394"/>
      <x:c r="P122" s="2530"/>
      <x:c r="Q122" s="2590" t="s">
        <x:v>320</x:v>
      </x:c>
      <x:c r="R122" s="2581" t="s">
        <x:v>648</x:v>
      </x:c>
      <x:c r="S122" s="2590" t="s">
        <x:v>760</x:v>
      </x:c>
      <x:c r="T122" s="2590" t="s">
        <x:v>844</x:v>
      </x:c>
      <x:c r="U122" s="2590" t="s">
        <x:v>762</x:v>
      </x:c>
      <x:c r="V122" s="2581" t="s">
        <x:v>763</x:v>
      </x:c>
      <x:c r="W122" s="861"/>
      <x:c r="X122" s="1155"/>
    </x:row>
    <x:row r="123" ht="39" customHeight="1">
      <x:c r="A123" s="2801">
        <x:v>45658</x:v>
      </x:c>
      <x:c r="B123" s="2797">
        <x:v>45747</x:v>
      </x:c>
      <x:c r="C123" s="2590" t="s">
        <x:v>131</x:v>
      </x:c>
      <x:c r="D123" s="2590" t="s">
        <x:v>842</x:v>
      </x:c>
      <x:c r="E123" s="2590" t="s">
        <x:v>843</x:v>
      </x:c>
      <x:c r="F123" s="2590" t="s">
        <x:v>535</x:v>
      </x:c>
      <x:c r="G123" s="2590" t="s">
        <x:v>62</x:v>
      </x:c>
      <x:c r="H123" s="2590" t="s">
        <x:v>756</x:v>
      </x:c>
      <x:c r="I123" s="2590" t="s">
        <x:v>779</x:v>
      </x:c>
      <x:c r="J123" s="2590" t="s">
        <x:v>780</x:v>
      </x:c>
      <x:c r="K123" s="2581" t="s">
        <x:v>781</x:v>
      </x:c>
      <x:c r="L123" s="2818"/>
      <x:c r="M123" s="2818"/>
      <x:c r="N123" s="2383">
        <x:v>202</x:v>
      </x:c>
      <x:c r="O123" s="2394"/>
      <x:c r="P123" s="2530"/>
      <x:c r="Q123" s="2590" t="s">
        <x:v>320</x:v>
      </x:c>
      <x:c r="R123" s="2581" t="s">
        <x:v>649</x:v>
      </x:c>
      <x:c r="S123" s="2590" t="s">
        <x:v>760</x:v>
      </x:c>
      <x:c r="T123" s="2590" t="s">
        <x:v>844</x:v>
      </x:c>
      <x:c r="U123" s="2590" t="s">
        <x:v>762</x:v>
      </x:c>
      <x:c r="V123" s="2581" t="s">
        <x:v>763</x:v>
      </x:c>
      <x:c r="W123" s="861"/>
      <x:c r="X123" s="1155"/>
    </x:row>
    <x:row r="124" ht="39" customHeight="1">
      <x:c r="A124" s="2801">
        <x:v>45658</x:v>
      </x:c>
      <x:c r="B124" s="2797">
        <x:v>45747</x:v>
      </x:c>
      <x:c r="C124" s="2590" t="s">
        <x:v>131</x:v>
      </x:c>
      <x:c r="D124" s="2590" t="s">
        <x:v>842</x:v>
      </x:c>
      <x:c r="E124" s="2590" t="s">
        <x:v>843</x:v>
      </x:c>
      <x:c r="F124" s="2590" t="s">
        <x:v>535</x:v>
      </x:c>
      <x:c r="G124" s="2590" t="s">
        <x:v>62</x:v>
      </x:c>
      <x:c r="H124" s="2590" t="s">
        <x:v>756</x:v>
      </x:c>
      <x:c r="I124" s="2590" t="s">
        <x:v>779</x:v>
      </x:c>
      <x:c r="J124" s="2590" t="s">
        <x:v>780</x:v>
      </x:c>
      <x:c r="K124" s="2581" t="s">
        <x:v>650</x:v>
      </x:c>
      <x:c r="L124" s="2818"/>
      <x:c r="M124" s="2818"/>
      <x:c r="N124" s="2383">
        <x:v>115</x:v>
      </x:c>
      <x:c r="O124" s="2394"/>
      <x:c r="P124" s="2530"/>
      <x:c r="Q124" s="2590" t="s">
        <x:v>320</x:v>
      </x:c>
      <x:c r="R124" s="2581" t="s">
        <x:v>650</x:v>
      </x:c>
      <x:c r="S124" s="2590" t="s">
        <x:v>760</x:v>
      </x:c>
      <x:c r="T124" s="2590" t="s">
        <x:v>844</x:v>
      </x:c>
      <x:c r="U124" s="2590" t="s">
        <x:v>762</x:v>
      </x:c>
      <x:c r="V124" s="2581" t="s">
        <x:v>763</x:v>
      </x:c>
      <x:c r="W124" s="861"/>
      <x:c r="X124" s="1155"/>
    </x:row>
    <x:row r="125" ht="39" customHeight="1">
      <x:c r="A125" s="2801">
        <x:v>45658</x:v>
      </x:c>
      <x:c r="B125" s="2797">
        <x:v>45747</x:v>
      </x:c>
      <x:c r="C125" s="2590" t="s">
        <x:v>131</x:v>
      </x:c>
      <x:c r="D125" s="2590" t="s">
        <x:v>842</x:v>
      </x:c>
      <x:c r="E125" s="2590" t="s">
        <x:v>843</x:v>
      </x:c>
      <x:c r="F125" s="2590" t="s">
        <x:v>535</x:v>
      </x:c>
      <x:c r="G125" s="2590" t="s">
        <x:v>776</x:v>
      </x:c>
      <x:c r="H125" s="2590" t="s">
        <x:v>756</x:v>
      </x:c>
      <x:c r="I125" s="2590" t="s">
        <x:v>779</x:v>
      </x:c>
      <x:c r="J125" s="2590" t="s">
        <x:v>780</x:v>
      </x:c>
      <x:c r="K125" s="2581" t="s">
        <x:v>650</x:v>
      </x:c>
      <x:c r="L125" s="2818"/>
      <x:c r="M125" s="2818"/>
      <x:c r="N125" s="2383">
        <x:v>530</x:v>
      </x:c>
      <x:c r="O125" s="2394"/>
      <x:c r="P125" s="2530"/>
      <x:c r="Q125" s="2590" t="s">
        <x:v>320</x:v>
      </x:c>
      <x:c r="R125" s="2581" t="s">
        <x:v>650</x:v>
      </x:c>
      <x:c r="S125" s="2590" t="s">
        <x:v>760</x:v>
      </x:c>
      <x:c r="T125" s="2590" t="s">
        <x:v>844</x:v>
      </x:c>
      <x:c r="U125" s="2590" t="s">
        <x:v>762</x:v>
      </x:c>
      <x:c r="V125" s="2581" t="s">
        <x:v>763</x:v>
      </x:c>
      <x:c r="W125" s="861"/>
      <x:c r="X125" s="1155"/>
    </x:row>
    <x:row r="126" ht="39" customHeight="1">
      <x:c r="A126" s="2801">
        <x:v>45658</x:v>
      </x:c>
      <x:c r="B126" s="2797">
        <x:v>45747</x:v>
      </x:c>
      <x:c r="C126" s="2590" t="s">
        <x:v>131</x:v>
      </x:c>
      <x:c r="D126" s="2590" t="s">
        <x:v>842</x:v>
      </x:c>
      <x:c r="E126" s="2590" t="s">
        <x:v>843</x:v>
      </x:c>
      <x:c r="F126" s="2590" t="s">
        <x:v>535</x:v>
      </x:c>
      <x:c r="G126" s="2590" t="s">
        <x:v>776</x:v>
      </x:c>
      <x:c r="H126" s="2590" t="s">
        <x:v>756</x:v>
      </x:c>
      <x:c r="I126" s="2590" t="s">
        <x:v>779</x:v>
      </x:c>
      <x:c r="J126" s="2590" t="s">
        <x:v>780</x:v>
      </x:c>
      <x:c r="K126" s="2581" t="s">
        <x:v>647</x:v>
      </x:c>
      <x:c r="L126" s="2818"/>
      <x:c r="M126" s="2818"/>
      <x:c r="N126" s="2383">
        <x:v>467</x:v>
      </x:c>
      <x:c r="O126" s="2394"/>
      <x:c r="P126" s="2530"/>
      <x:c r="Q126" s="2590" t="s">
        <x:v>320</x:v>
      </x:c>
      <x:c r="R126" s="2581" t="s">
        <x:v>647</x:v>
      </x:c>
      <x:c r="S126" s="2590" t="s">
        <x:v>760</x:v>
      </x:c>
      <x:c r="T126" s="2590" t="s">
        <x:v>844</x:v>
      </x:c>
      <x:c r="U126" s="2590" t="s">
        <x:v>762</x:v>
      </x:c>
      <x:c r="V126" s="2581" t="s">
        <x:v>763</x:v>
      </x:c>
      <x:c r="W126" s="861"/>
      <x:c r="X126" s="1155"/>
    </x:row>
    <x:row r="127" ht="39" customHeight="1">
      <x:c r="A127" s="2801">
        <x:v>45658</x:v>
      </x:c>
      <x:c r="B127" s="2797">
        <x:v>45747</x:v>
      </x:c>
      <x:c r="C127" s="2590" t="s">
        <x:v>131</x:v>
      </x:c>
      <x:c r="D127" s="2590" t="s">
        <x:v>842</x:v>
      </x:c>
      <x:c r="E127" s="2590" t="s">
        <x:v>843</x:v>
      </x:c>
      <x:c r="F127" s="2590" t="s">
        <x:v>535</x:v>
      </x:c>
      <x:c r="G127" s="2590" t="s">
        <x:v>776</x:v>
      </x:c>
      <x:c r="H127" s="2590" t="s">
        <x:v>756</x:v>
      </x:c>
      <x:c r="I127" s="2590" t="s">
        <x:v>779</x:v>
      </x:c>
      <x:c r="J127" s="2590" t="s">
        <x:v>780</x:v>
      </x:c>
      <x:c r="K127" s="2581" t="s">
        <x:v>781</x:v>
      </x:c>
      <x:c r="L127" s="2818"/>
      <x:c r="M127" s="2818"/>
      <x:c r="N127" s="2383">
        <x:v>75</x:v>
      </x:c>
      <x:c r="O127" s="2394"/>
      <x:c r="P127" s="2530"/>
      <x:c r="Q127" s="2590" t="s">
        <x:v>320</x:v>
      </x:c>
      <x:c r="R127" s="2581" t="s">
        <x:v>649</x:v>
      </x:c>
      <x:c r="S127" s="2590" t="s">
        <x:v>760</x:v>
      </x:c>
      <x:c r="T127" s="2590" t="s">
        <x:v>844</x:v>
      </x:c>
      <x:c r="U127" s="2590" t="s">
        <x:v>762</x:v>
      </x:c>
      <x:c r="V127" s="2581" t="s">
        <x:v>763</x:v>
      </x:c>
      <x:c r="W127" s="861"/>
      <x:c r="X127" s="1155"/>
    </x:row>
    <x:row r="128" ht="39" customHeight="1">
      <x:c r="A128" s="2801">
        <x:v>45658</x:v>
      </x:c>
      <x:c r="B128" s="2797">
        <x:v>45747</x:v>
      </x:c>
      <x:c r="C128" s="2590" t="s">
        <x:v>131</x:v>
      </x:c>
      <x:c r="D128" s="2590" t="s">
        <x:v>842</x:v>
      </x:c>
      <x:c r="E128" s="2590" t="s">
        <x:v>843</x:v>
      </x:c>
      <x:c r="F128" s="2590" t="s">
        <x:v>535</x:v>
      </x:c>
      <x:c r="G128" s="2590" t="s">
        <x:v>776</x:v>
      </x:c>
      <x:c r="H128" s="2590" t="s">
        <x:v>756</x:v>
      </x:c>
      <x:c r="I128" s="2590" t="s">
        <x:v>779</x:v>
      </x:c>
      <x:c r="J128" s="2590" t="s">
        <x:v>780</x:v>
      </x:c>
      <x:c r="K128" s="2581" t="s">
        <x:v>648</x:v>
      </x:c>
      <x:c r="L128" s="2818"/>
      <x:c r="M128" s="2818"/>
      <x:c r="N128" s="2383">
        <x:v>75</x:v>
      </x:c>
      <x:c r="O128" s="2394"/>
      <x:c r="P128" s="2530"/>
      <x:c r="Q128" s="2590" t="s">
        <x:v>320</x:v>
      </x:c>
      <x:c r="R128" s="2581" t="s">
        <x:v>648</x:v>
      </x:c>
      <x:c r="S128" s="2590" t="s">
        <x:v>760</x:v>
      </x:c>
      <x:c r="T128" s="2590" t="s">
        <x:v>844</x:v>
      </x:c>
      <x:c r="U128" s="2590" t="s">
        <x:v>762</x:v>
      </x:c>
      <x:c r="V128" s="2581" t="s">
        <x:v>763</x:v>
      </x:c>
      <x:c r="W128" s="861"/>
      <x:c r="X128" s="1155"/>
    </x:row>
    <x:row r="129" ht="39" customHeight="1">
      <x:c r="A129" s="2801">
        <x:v>45658</x:v>
      </x:c>
      <x:c r="B129" s="2797">
        <x:v>45747</x:v>
      </x:c>
      <x:c r="C129" s="2590" t="s">
        <x:v>131</x:v>
      </x:c>
      <x:c r="D129" s="2590" t="s">
        <x:v>842</x:v>
      </x:c>
      <x:c r="E129" s="2590" t="s">
        <x:v>843</x:v>
      </x:c>
      <x:c r="F129" s="2590" t="s">
        <x:v>535</x:v>
      </x:c>
      <x:c r="G129" s="2590" t="s">
        <x:v>62</x:v>
      </x:c>
      <x:c r="H129" s="2590" t="s">
        <x:v>782</x:v>
      </x:c>
      <x:c r="I129" s="2590" t="s">
        <x:v>783</x:v>
      </x:c>
      <x:c r="J129" s="2590" t="s">
        <x:v>784</x:v>
      </x:c>
      <x:c r="K129" s="2581" t="s">
        <x:v>655</x:v>
      </x:c>
      <x:c r="L129" s="2581" t="s">
        <x:v>785</x:v>
      </x:c>
      <x:c r="M129" s="2581" t="s">
        <x:v>786</x:v>
      </x:c>
      <x:c r="N129" s="2383">
        <x:v>217</x:v>
      </x:c>
      <x:c r="O129" s="2394"/>
      <x:c r="P129" s="2530">
        <x:v>5.3999999999999999E-2</x:v>
      </x:c>
      <x:c r="Q129" s="2590" t="s">
        <x:v>787</x:v>
      </x:c>
      <x:c r="R129" s="2581" t="s">
        <x:v>655</x:v>
      </x:c>
      <x:c r="S129" s="2590" t="s">
        <x:v>760</x:v>
      </x:c>
      <x:c r="T129" s="2590" t="s">
        <x:v>844</x:v>
      </x:c>
      <x:c r="U129" s="2590" t="s">
        <x:v>762</x:v>
      </x:c>
      <x:c r="V129" s="2581" t="s">
        <x:v>763</x:v>
      </x:c>
      <x:c r="W129" s="861"/>
      <x:c r="X129" s="1155"/>
    </x:row>
    <x:row r="130" ht="39" customHeight="1">
      <x:c r="A130" s="2801">
        <x:v>45658</x:v>
      </x:c>
      <x:c r="B130" s="2797">
        <x:v>45747</x:v>
      </x:c>
      <x:c r="C130" s="2590" t="s">
        <x:v>131</x:v>
      </x:c>
      <x:c r="D130" s="2590" t="s">
        <x:v>842</x:v>
      </x:c>
      <x:c r="E130" s="2590" t="s">
        <x:v>843</x:v>
      </x:c>
      <x:c r="F130" s="2590" t="s">
        <x:v>535</x:v>
      </x:c>
      <x:c r="G130" s="2590" t="s">
        <x:v>62</x:v>
      </x:c>
      <x:c r="H130" s="2590" t="s">
        <x:v>782</x:v>
      </x:c>
      <x:c r="I130" s="2590" t="s">
        <x:v>783</x:v>
      </x:c>
      <x:c r="J130" s="2590" t="s">
        <x:v>784</x:v>
      </x:c>
      <x:c r="K130" s="2581" t="s">
        <x:v>656</x:v>
      </x:c>
      <x:c r="L130" s="2581" t="s">
        <x:v>788</x:v>
      </x:c>
      <x:c r="M130" s="2581" t="s">
        <x:v>789</x:v>
      </x:c>
      <x:c r="N130" s="2383">
        <x:v>180</x:v>
      </x:c>
      <x:c r="O130" s="2394"/>
      <x:c r="P130" s="2530">
        <x:v>4.4999999999999998E-2</x:v>
      </x:c>
      <x:c r="Q130" s="2590" t="s">
        <x:v>787</x:v>
      </x:c>
      <x:c r="R130" s="2581" t="s">
        <x:v>656</x:v>
      </x:c>
      <x:c r="S130" s="2590" t="s">
        <x:v>760</x:v>
      </x:c>
      <x:c r="T130" s="2590" t="s">
        <x:v>844</x:v>
      </x:c>
      <x:c r="U130" s="2590" t="s">
        <x:v>762</x:v>
      </x:c>
      <x:c r="V130" s="2581" t="s">
        <x:v>763</x:v>
      </x:c>
      <x:c r="W130" s="861"/>
      <x:c r="X130" s="1155"/>
    </x:row>
    <x:row r="131" ht="39" customHeight="1">
      <x:c r="A131" s="2801">
        <x:v>45658</x:v>
      </x:c>
      <x:c r="B131" s="2797">
        <x:v>45747</x:v>
      </x:c>
      <x:c r="C131" s="2590" t="s">
        <x:v>131</x:v>
      </x:c>
      <x:c r="D131" s="2590" t="s">
        <x:v>842</x:v>
      </x:c>
      <x:c r="E131" s="2590" t="s">
        <x:v>843</x:v>
      </x:c>
      <x:c r="F131" s="2590" t="s">
        <x:v>535</x:v>
      </x:c>
      <x:c r="G131" s="2590" t="s">
        <x:v>62</x:v>
      </x:c>
      <x:c r="H131" s="2590" t="s">
        <x:v>782</x:v>
      </x:c>
      <x:c r="I131" s="2590" t="s">
        <x:v>783</x:v>
      </x:c>
      <x:c r="J131" s="2590" t="s">
        <x:v>784</x:v>
      </x:c>
      <x:c r="K131" s="2581" t="s">
        <x:v>654</x:v>
      </x:c>
      <x:c r="L131" s="2581" t="s">
        <x:v>785</x:v>
      </x:c>
      <x:c r="M131" s="2581" t="s">
        <x:v>790</x:v>
      </x:c>
      <x:c r="N131" s="2383">
        <x:v>178</x:v>
      </x:c>
      <x:c r="O131" s="2394"/>
      <x:c r="P131" s="2530">
        <x:v>4.3999999999999997E-2</x:v>
      </x:c>
      <x:c r="Q131" s="2590" t="s">
        <x:v>787</x:v>
      </x:c>
      <x:c r="R131" s="2581" t="s">
        <x:v>654</x:v>
      </x:c>
      <x:c r="S131" s="2590" t="s">
        <x:v>760</x:v>
      </x:c>
      <x:c r="T131" s="2590" t="s">
        <x:v>844</x:v>
      </x:c>
      <x:c r="U131" s="2590" t="s">
        <x:v>762</x:v>
      </x:c>
      <x:c r="V131" s="2581" t="s">
        <x:v>763</x:v>
      </x:c>
      <x:c r="W131" s="861"/>
      <x:c r="X131" s="1155"/>
    </x:row>
    <x:row r="132" ht="39" customHeight="1">
      <x:c r="A132" s="2801">
        <x:v>45658</x:v>
      </x:c>
      <x:c r="B132" s="2797">
        <x:v>45747</x:v>
      </x:c>
      <x:c r="C132" s="2590" t="s">
        <x:v>131</x:v>
      </x:c>
      <x:c r="D132" s="2590" t="s">
        <x:v>842</x:v>
      </x:c>
      <x:c r="E132" s="2590" t="s">
        <x:v>843</x:v>
      </x:c>
      <x:c r="F132" s="2590" t="s">
        <x:v>535</x:v>
      </x:c>
      <x:c r="G132" s="2590" t="s">
        <x:v>62</x:v>
      </x:c>
      <x:c r="H132" s="2590" t="s">
        <x:v>782</x:v>
      </x:c>
      <x:c r="I132" s="2590" t="s">
        <x:v>783</x:v>
      </x:c>
      <x:c r="J132" s="2590" t="s">
        <x:v>784</x:v>
      </x:c>
      <x:c r="K132" s="2581" t="s">
        <x:v>658</x:v>
      </x:c>
      <x:c r="L132" s="2581" t="s">
        <x:v>788</x:v>
      </x:c>
      <x:c r="M132" s="2581" t="s">
        <x:v>800</x:v>
      </x:c>
      <x:c r="N132" s="2383">
        <x:v>151</x:v>
      </x:c>
      <x:c r="O132" s="2394"/>
      <x:c r="P132" s="2530">
        <x:v>3.7999999999999999E-2</x:v>
      </x:c>
      <x:c r="Q132" s="2590" t="s">
        <x:v>787</x:v>
      </x:c>
      <x:c r="R132" s="2581" t="s">
        <x:v>658</x:v>
      </x:c>
      <x:c r="S132" s="2590" t="s">
        <x:v>760</x:v>
      </x:c>
      <x:c r="T132" s="2590" t="s">
        <x:v>844</x:v>
      </x:c>
      <x:c r="U132" s="2590" t="s">
        <x:v>762</x:v>
      </x:c>
      <x:c r="V132" s="2581" t="s">
        <x:v>763</x:v>
      </x:c>
      <x:c r="W132" s="861"/>
      <x:c r="X132" s="1155"/>
    </x:row>
    <x:row r="133" ht="39" customHeight="1">
      <x:c r="A133" s="2801">
        <x:v>45658</x:v>
      </x:c>
      <x:c r="B133" s="2797">
        <x:v>45747</x:v>
      </x:c>
      <x:c r="C133" s="2590" t="s">
        <x:v>131</x:v>
      </x:c>
      <x:c r="D133" s="2590" t="s">
        <x:v>842</x:v>
      </x:c>
      <x:c r="E133" s="2590" t="s">
        <x:v>843</x:v>
      </x:c>
      <x:c r="F133" s="2590" t="s">
        <x:v>535</x:v>
      </x:c>
      <x:c r="G133" s="2590" t="s">
        <x:v>62</x:v>
      </x:c>
      <x:c r="H133" s="2590" t="s">
        <x:v>782</x:v>
      </x:c>
      <x:c r="I133" s="2590" t="s">
        <x:v>783</x:v>
      </x:c>
      <x:c r="J133" s="2590" t="s">
        <x:v>784</x:v>
      </x:c>
      <x:c r="K133" s="2581" t="s">
        <x:v>657</x:v>
      </x:c>
      <x:c r="L133" s="2581" t="s">
        <x:v>791</x:v>
      </x:c>
      <x:c r="M133" s="2581" t="s">
        <x:v>679</x:v>
      </x:c>
      <x:c r="N133" s="2383">
        <x:v>147</x:v>
      </x:c>
      <x:c r="O133" s="2394"/>
      <x:c r="P133" s="2530">
        <x:v>3.6999999999999998E-2</x:v>
      </x:c>
      <x:c r="Q133" s="2590" t="s">
        <x:v>787</x:v>
      </x:c>
      <x:c r="R133" s="2581" t="s">
        <x:v>657</x:v>
      </x:c>
      <x:c r="S133" s="2590" t="s">
        <x:v>760</x:v>
      </x:c>
      <x:c r="T133" s="2590" t="s">
        <x:v>844</x:v>
      </x:c>
      <x:c r="U133" s="2590" t="s">
        <x:v>762</x:v>
      </x:c>
      <x:c r="V133" s="2581" t="s">
        <x:v>763</x:v>
      </x:c>
      <x:c r="W133" s="861"/>
      <x:c r="X133" s="1155"/>
    </x:row>
    <x:row r="134" ht="39" customHeight="1">
      <x:c r="A134" s="2801">
        <x:v>45658</x:v>
      </x:c>
      <x:c r="B134" s="2797">
        <x:v>45747</x:v>
      </x:c>
      <x:c r="C134" s="2590" t="s">
        <x:v>131</x:v>
      </x:c>
      <x:c r="D134" s="2590" t="s">
        <x:v>842</x:v>
      </x:c>
      <x:c r="E134" s="2590" t="s">
        <x:v>843</x:v>
      </x:c>
      <x:c r="F134" s="2590" t="s">
        <x:v>535</x:v>
      </x:c>
      <x:c r="G134" s="2590" t="s">
        <x:v>62</x:v>
      </x:c>
      <x:c r="H134" s="2590" t="s">
        <x:v>782</x:v>
      </x:c>
      <x:c r="I134" s="2590" t="s">
        <x:v>783</x:v>
      </x:c>
      <x:c r="J134" s="2590" t="s">
        <x:v>784</x:v>
      </x:c>
      <x:c r="K134" s="2581" t="s">
        <x:v>660</x:v>
      </x:c>
      <x:c r="L134" s="2581" t="s">
        <x:v>793</x:v>
      </x:c>
      <x:c r="M134" s="2581" t="s">
        <x:v>794</x:v>
      </x:c>
      <x:c r="N134" s="2383">
        <x:v>144</x:v>
      </x:c>
      <x:c r="O134" s="2394"/>
      <x:c r="P134" s="2530">
        <x:v>3.5999999999999997E-2</x:v>
      </x:c>
      <x:c r="Q134" s="2590" t="s">
        <x:v>787</x:v>
      </x:c>
      <x:c r="R134" s="2581" t="s">
        <x:v>660</x:v>
      </x:c>
      <x:c r="S134" s="2590" t="s">
        <x:v>760</x:v>
      </x:c>
      <x:c r="T134" s="2590" t="s">
        <x:v>844</x:v>
      </x:c>
      <x:c r="U134" s="2590" t="s">
        <x:v>762</x:v>
      </x:c>
      <x:c r="V134" s="2581" t="s">
        <x:v>763</x:v>
      </x:c>
      <x:c r="W134" s="861"/>
      <x:c r="X134" s="1155"/>
    </x:row>
    <x:row r="135" ht="39" customHeight="1">
      <x:c r="A135" s="2801">
        <x:v>45658</x:v>
      </x:c>
      <x:c r="B135" s="2797">
        <x:v>45747</x:v>
      </x:c>
      <x:c r="C135" s="2590" t="s">
        <x:v>131</x:v>
      </x:c>
      <x:c r="D135" s="2590" t="s">
        <x:v>842</x:v>
      </x:c>
      <x:c r="E135" s="2590" t="s">
        <x:v>843</x:v>
      </x:c>
      <x:c r="F135" s="2590" t="s">
        <x:v>535</x:v>
      </x:c>
      <x:c r="G135" s="2590" t="s">
        <x:v>62</x:v>
      </x:c>
      <x:c r="H135" s="2590" t="s">
        <x:v>782</x:v>
      </x:c>
      <x:c r="I135" s="2590" t="s">
        <x:v>783</x:v>
      </x:c>
      <x:c r="J135" s="2590" t="s">
        <x:v>784</x:v>
      </x:c>
      <x:c r="K135" s="2581" t="s">
        <x:v>661</x:v>
      </x:c>
      <x:c r="L135" s="2581" t="s">
        <x:v>795</x:v>
      </x:c>
      <x:c r="M135" s="2581" t="s">
        <x:v>797</x:v>
      </x:c>
      <x:c r="N135" s="2383">
        <x:v>140</x:v>
      </x:c>
      <x:c r="O135" s="2394"/>
      <x:c r="P135" s="2530">
        <x:v>3.5000000000000003E-2</x:v>
      </x:c>
      <x:c r="Q135" s="2590" t="s">
        <x:v>787</x:v>
      </x:c>
      <x:c r="R135" s="2581" t="s">
        <x:v>661</x:v>
      </x:c>
      <x:c r="S135" s="2590" t="s">
        <x:v>760</x:v>
      </x:c>
      <x:c r="T135" s="2590" t="s">
        <x:v>844</x:v>
      </x:c>
      <x:c r="U135" s="2590" t="s">
        <x:v>762</x:v>
      </x:c>
      <x:c r="V135" s="2581" t="s">
        <x:v>763</x:v>
      </x:c>
      <x:c r="W135" s="861"/>
      <x:c r="X135" s="1155"/>
    </x:row>
    <x:row r="136" ht="39" customHeight="1">
      <x:c r="A136" s="2801">
        <x:v>45658</x:v>
      </x:c>
      <x:c r="B136" s="2797">
        <x:v>45747</x:v>
      </x:c>
      <x:c r="C136" s="2590" t="s">
        <x:v>131</x:v>
      </x:c>
      <x:c r="D136" s="2590" t="s">
        <x:v>842</x:v>
      </x:c>
      <x:c r="E136" s="2590" t="s">
        <x:v>843</x:v>
      </x:c>
      <x:c r="F136" s="2590" t="s">
        <x:v>535</x:v>
      </x:c>
      <x:c r="G136" s="2590" t="s">
        <x:v>62</x:v>
      </x:c>
      <x:c r="H136" s="2590" t="s">
        <x:v>782</x:v>
      </x:c>
      <x:c r="I136" s="2590" t="s">
        <x:v>783</x:v>
      </x:c>
      <x:c r="J136" s="2590" t="s">
        <x:v>784</x:v>
      </x:c>
      <x:c r="K136" s="2581" t="s">
        <x:v>662</x:v>
      </x:c>
      <x:c r="L136" s="2581" t="s">
        <x:v>788</x:v>
      </x:c>
      <x:c r="M136" s="2581" t="s">
        <x:v>792</x:v>
      </x:c>
      <x:c r="N136" s="2383">
        <x:v>133</x:v>
      </x:c>
      <x:c r="O136" s="2394"/>
      <x:c r="P136" s="2530">
        <x:v>3.3000000000000002E-2</x:v>
      </x:c>
      <x:c r="Q136" s="2590" t="s">
        <x:v>787</x:v>
      </x:c>
      <x:c r="R136" s="2581" t="s">
        <x:v>662</x:v>
      </x:c>
      <x:c r="S136" s="2590" t="s">
        <x:v>760</x:v>
      </x:c>
      <x:c r="T136" s="2590" t="s">
        <x:v>844</x:v>
      </x:c>
      <x:c r="U136" s="2590" t="s">
        <x:v>762</x:v>
      </x:c>
      <x:c r="V136" s="2581" t="s">
        <x:v>763</x:v>
      </x:c>
      <x:c r="W136" s="861"/>
      <x:c r="X136" s="1155"/>
    </x:row>
    <x:row r="137" ht="39" customHeight="1">
      <x:c r="A137" s="2801">
        <x:v>45658</x:v>
      </x:c>
      <x:c r="B137" s="2797">
        <x:v>45747</x:v>
      </x:c>
      <x:c r="C137" s="2590" t="s">
        <x:v>131</x:v>
      </x:c>
      <x:c r="D137" s="2590" t="s">
        <x:v>842</x:v>
      </x:c>
      <x:c r="E137" s="2590" t="s">
        <x:v>843</x:v>
      </x:c>
      <x:c r="F137" s="2590" t="s">
        <x:v>535</x:v>
      </x:c>
      <x:c r="G137" s="2590" t="s">
        <x:v>62</x:v>
      </x:c>
      <x:c r="H137" s="2590" t="s">
        <x:v>782</x:v>
      </x:c>
      <x:c r="I137" s="2590" t="s">
        <x:v>783</x:v>
      </x:c>
      <x:c r="J137" s="2590" t="s">
        <x:v>784</x:v>
      </x:c>
      <x:c r="K137" s="2581" t="s">
        <x:v>659</x:v>
      </x:c>
      <x:c r="L137" s="2581" t="s">
        <x:v>798</x:v>
      </x:c>
      <x:c r="M137" s="2581" t="s">
        <x:v>799</x:v>
      </x:c>
      <x:c r="N137" s="2383">
        <x:v>132</x:v>
      </x:c>
      <x:c r="O137" s="2394"/>
      <x:c r="P137" s="2530">
        <x:v>3.3000000000000002E-2</x:v>
      </x:c>
      <x:c r="Q137" s="2590" t="s">
        <x:v>787</x:v>
      </x:c>
      <x:c r="R137" s="2581" t="s">
        <x:v>659</x:v>
      </x:c>
      <x:c r="S137" s="2590" t="s">
        <x:v>760</x:v>
      </x:c>
      <x:c r="T137" s="2590" t="s">
        <x:v>844</x:v>
      </x:c>
      <x:c r="U137" s="2590" t="s">
        <x:v>762</x:v>
      </x:c>
      <x:c r="V137" s="2581" t="s">
        <x:v>763</x:v>
      </x:c>
      <x:c r="W137" s="861"/>
      <x:c r="X137" s="1155"/>
    </x:row>
    <x:row r="138" ht="39" customHeight="1">
      <x:c r="A138" s="2801">
        <x:v>45658</x:v>
      </x:c>
      <x:c r="B138" s="2797">
        <x:v>45747</x:v>
      </x:c>
      <x:c r="C138" s="2590" t="s">
        <x:v>131</x:v>
      </x:c>
      <x:c r="D138" s="2590" t="s">
        <x:v>842</x:v>
      </x:c>
      <x:c r="E138" s="2590" t="s">
        <x:v>843</x:v>
      </x:c>
      <x:c r="F138" s="2590" t="s">
        <x:v>535</x:v>
      </x:c>
      <x:c r="G138" s="2590" t="s">
        <x:v>62</x:v>
      </x:c>
      <x:c r="H138" s="2590" t="s">
        <x:v>782</x:v>
      </x:c>
      <x:c r="I138" s="2590" t="s">
        <x:v>783</x:v>
      </x:c>
      <x:c r="J138" s="2590" t="s">
        <x:v>784</x:v>
      </x:c>
      <x:c r="K138" s="2581" t="s">
        <x:v>669</x:v>
      </x:c>
      <x:c r="L138" s="2581" t="s">
        <x:v>805</x:v>
      </x:c>
      <x:c r="M138" s="2581" t="s">
        <x:v>806</x:v>
      </x:c>
      <x:c r="N138" s="2383">
        <x:v>121</x:v>
      </x:c>
      <x:c r="O138" s="2394"/>
      <x:c r="P138" s="2530">
        <x:v>0.03</x:v>
      </x:c>
      <x:c r="Q138" s="2590" t="s">
        <x:v>787</x:v>
      </x:c>
      <x:c r="R138" s="2581" t="s">
        <x:v>669</x:v>
      </x:c>
      <x:c r="S138" s="2590" t="s">
        <x:v>760</x:v>
      </x:c>
      <x:c r="T138" s="2590" t="s">
        <x:v>844</x:v>
      </x:c>
      <x:c r="U138" s="2590" t="s">
        <x:v>762</x:v>
      </x:c>
      <x:c r="V138" s="2581" t="s">
        <x:v>763</x:v>
      </x:c>
      <x:c r="W138" s="861"/>
      <x:c r="X138" s="1155"/>
    </x:row>
    <x:row r="139" ht="39" customHeight="1">
      <x:c r="A139" s="2801">
        <x:v>45658</x:v>
      </x:c>
      <x:c r="B139" s="2797">
        <x:v>45747</x:v>
      </x:c>
      <x:c r="C139" s="2590" t="s">
        <x:v>131</x:v>
      </x:c>
      <x:c r="D139" s="2590" t="s">
        <x:v>842</x:v>
      </x:c>
      <x:c r="E139" s="2590" t="s">
        <x:v>843</x:v>
      </x:c>
      <x:c r="F139" s="2590" t="s">
        <x:v>535</x:v>
      </x:c>
      <x:c r="G139" s="2590" t="s">
        <x:v>62</x:v>
      </x:c>
      <x:c r="H139" s="2590" t="s">
        <x:v>782</x:v>
      </x:c>
      <x:c r="I139" s="2590" t="s">
        <x:v>783</x:v>
      </x:c>
      <x:c r="J139" s="2590" t="s">
        <x:v>784</x:v>
      </x:c>
      <x:c r="K139" s="2581" t="s">
        <x:v>665</x:v>
      </x:c>
      <x:c r="L139" s="2581" t="s">
        <x:v>785</x:v>
      </x:c>
      <x:c r="M139" s="2581" t="s">
        <x:v>801</x:v>
      </x:c>
      <x:c r="N139" s="2383">
        <x:v>120</x:v>
      </x:c>
      <x:c r="O139" s="2394"/>
      <x:c r="P139" s="2530">
        <x:v>0.03</x:v>
      </x:c>
      <x:c r="Q139" s="2590" t="s">
        <x:v>787</x:v>
      </x:c>
      <x:c r="R139" s="2581" t="s">
        <x:v>665</x:v>
      </x:c>
      <x:c r="S139" s="2590" t="s">
        <x:v>760</x:v>
      </x:c>
      <x:c r="T139" s="2590" t="s">
        <x:v>844</x:v>
      </x:c>
      <x:c r="U139" s="2590" t="s">
        <x:v>762</x:v>
      </x:c>
      <x:c r="V139" s="2581" t="s">
        <x:v>763</x:v>
      </x:c>
      <x:c r="W139" s="861"/>
      <x:c r="X139" s="1155"/>
    </x:row>
    <x:row r="140" ht="39" customHeight="1">
      <x:c r="A140" s="2801">
        <x:v>45658</x:v>
      </x:c>
      <x:c r="B140" s="2797">
        <x:v>45747</x:v>
      </x:c>
      <x:c r="C140" s="2590" t="s">
        <x:v>131</x:v>
      </x:c>
      <x:c r="D140" s="2590" t="s">
        <x:v>842</x:v>
      </x:c>
      <x:c r="E140" s="2590" t="s">
        <x:v>843</x:v>
      </x:c>
      <x:c r="F140" s="2590" t="s">
        <x:v>535</x:v>
      </x:c>
      <x:c r="G140" s="2590" t="s">
        <x:v>62</x:v>
      </x:c>
      <x:c r="H140" s="2590" t="s">
        <x:v>782</x:v>
      </x:c>
      <x:c r="I140" s="2590" t="s">
        <x:v>783</x:v>
      </x:c>
      <x:c r="J140" s="2590" t="s">
        <x:v>784</x:v>
      </x:c>
      <x:c r="K140" s="2581" t="s">
        <x:v>667</x:v>
      </x:c>
      <x:c r="L140" s="2581" t="s">
        <x:v>795</x:v>
      </x:c>
      <x:c r="M140" s="2581" t="s">
        <x:v>796</x:v>
      </x:c>
      <x:c r="N140" s="2383">
        <x:v>115</x:v>
      </x:c>
      <x:c r="O140" s="2394"/>
      <x:c r="P140" s="2530">
        <x:v>2.9000000000000001E-2</x:v>
      </x:c>
      <x:c r="Q140" s="2590" t="s">
        <x:v>787</x:v>
      </x:c>
      <x:c r="R140" s="2581" t="s">
        <x:v>667</x:v>
      </x:c>
      <x:c r="S140" s="2590" t="s">
        <x:v>760</x:v>
      </x:c>
      <x:c r="T140" s="2590" t="s">
        <x:v>844</x:v>
      </x:c>
      <x:c r="U140" s="2590" t="s">
        <x:v>762</x:v>
      </x:c>
      <x:c r="V140" s="2581" t="s">
        <x:v>763</x:v>
      </x:c>
      <x:c r="W140" s="861"/>
      <x:c r="X140" s="1155"/>
    </x:row>
    <x:row r="141" ht="39" customHeight="1">
      <x:c r="A141" s="2801">
        <x:v>45658</x:v>
      </x:c>
      <x:c r="B141" s="2797">
        <x:v>45747</x:v>
      </x:c>
      <x:c r="C141" s="2590" t="s">
        <x:v>131</x:v>
      </x:c>
      <x:c r="D141" s="2590" t="s">
        <x:v>842</x:v>
      </x:c>
      <x:c r="E141" s="2590" t="s">
        <x:v>843</x:v>
      </x:c>
      <x:c r="F141" s="2590" t="s">
        <x:v>535</x:v>
      </x:c>
      <x:c r="G141" s="2590" t="s">
        <x:v>62</x:v>
      </x:c>
      <x:c r="H141" s="2590" t="s">
        <x:v>782</x:v>
      </x:c>
      <x:c r="I141" s="2590" t="s">
        <x:v>783</x:v>
      </x:c>
      <x:c r="J141" s="2590" t="s">
        <x:v>784</x:v>
      </x:c>
      <x:c r="K141" s="2581" t="s">
        <x:v>664</x:v>
      </x:c>
      <x:c r="L141" s="2581" t="s">
        <x:v>785</x:v>
      </x:c>
      <x:c r="M141" s="2581" t="s">
        <x:v>807</x:v>
      </x:c>
      <x:c r="N141" s="2383">
        <x:v>100</x:v>
      </x:c>
      <x:c r="O141" s="2394"/>
      <x:c r="P141" s="2530">
        <x:v>2.5000000000000001E-2</x:v>
      </x:c>
      <x:c r="Q141" s="2590" t="s">
        <x:v>787</x:v>
      </x:c>
      <x:c r="R141" s="2581" t="s">
        <x:v>664</x:v>
      </x:c>
      <x:c r="S141" s="2590" t="s">
        <x:v>760</x:v>
      </x:c>
      <x:c r="T141" s="2590" t="s">
        <x:v>844</x:v>
      </x:c>
      <x:c r="U141" s="2590" t="s">
        <x:v>762</x:v>
      </x:c>
      <x:c r="V141" s="2581" t="s">
        <x:v>763</x:v>
      </x:c>
      <x:c r="W141" s="861"/>
      <x:c r="X141" s="1155"/>
    </x:row>
    <x:row r="142" ht="39" customHeight="1">
      <x:c r="A142" s="2801">
        <x:v>45658</x:v>
      </x:c>
      <x:c r="B142" s="2797">
        <x:v>45747</x:v>
      </x:c>
      <x:c r="C142" s="2590" t="s">
        <x:v>131</x:v>
      </x:c>
      <x:c r="D142" s="2590" t="s">
        <x:v>842</x:v>
      </x:c>
      <x:c r="E142" s="2590" t="s">
        <x:v>843</x:v>
      </x:c>
      <x:c r="F142" s="2590" t="s">
        <x:v>535</x:v>
      </x:c>
      <x:c r="G142" s="2590" t="s">
        <x:v>62</x:v>
      </x:c>
      <x:c r="H142" s="2590" t="s">
        <x:v>782</x:v>
      </x:c>
      <x:c r="I142" s="2590" t="s">
        <x:v>783</x:v>
      </x:c>
      <x:c r="J142" s="2590" t="s">
        <x:v>784</x:v>
      </x:c>
      <x:c r="K142" s="2581" t="s">
        <x:v>663</x:v>
      </x:c>
      <x:c r="L142" s="2581" t="s">
        <x:v>795</x:v>
      </x:c>
      <x:c r="M142" s="2581" t="s">
        <x:v>804</x:v>
      </x:c>
      <x:c r="N142" s="2383">
        <x:v>93</x:v>
      </x:c>
      <x:c r="O142" s="2394"/>
      <x:c r="P142" s="2530">
        <x:v>2.3E-2</x:v>
      </x:c>
      <x:c r="Q142" s="2590" t="s">
        <x:v>787</x:v>
      </x:c>
      <x:c r="R142" s="2581" t="s">
        <x:v>663</x:v>
      </x:c>
      <x:c r="S142" s="2590" t="s">
        <x:v>760</x:v>
      </x:c>
      <x:c r="T142" s="2590" t="s">
        <x:v>844</x:v>
      </x:c>
      <x:c r="U142" s="2590" t="s">
        <x:v>762</x:v>
      </x:c>
      <x:c r="V142" s="2581" t="s">
        <x:v>763</x:v>
      </x:c>
      <x:c r="W142" s="861"/>
      <x:c r="X142" s="1155"/>
    </x:row>
    <x:row r="143" ht="39" customHeight="1">
      <x:c r="A143" s="2801">
        <x:v>45658</x:v>
      </x:c>
      <x:c r="B143" s="2797">
        <x:v>45747</x:v>
      </x:c>
      <x:c r="C143" s="2590" t="s">
        <x:v>131</x:v>
      </x:c>
      <x:c r="D143" s="2590" t="s">
        <x:v>842</x:v>
      </x:c>
      <x:c r="E143" s="2590" t="s">
        <x:v>843</x:v>
      </x:c>
      <x:c r="F143" s="2590" t="s">
        <x:v>535</x:v>
      </x:c>
      <x:c r="G143" s="2590" t="s">
        <x:v>62</x:v>
      </x:c>
      <x:c r="H143" s="2590" t="s">
        <x:v>782</x:v>
      </x:c>
      <x:c r="I143" s="2590" t="s">
        <x:v>783</x:v>
      </x:c>
      <x:c r="J143" s="2590" t="s">
        <x:v>784</x:v>
      </x:c>
      <x:c r="K143" s="2581" t="s">
        <x:v>670</x:v>
      </x:c>
      <x:c r="L143" s="2581" t="s">
        <x:v>802</x:v>
      </x:c>
      <x:c r="M143" s="2581" t="s">
        <x:v>577</x:v>
      </x:c>
      <x:c r="N143" s="2383">
        <x:v>92</x:v>
      </x:c>
      <x:c r="O143" s="2394"/>
      <x:c r="P143" s="2530">
        <x:v>2.3E-2</x:v>
      </x:c>
      <x:c r="Q143" s="2590" t="s">
        <x:v>787</x:v>
      </x:c>
      <x:c r="R143" s="2581" t="s">
        <x:v>670</x:v>
      </x:c>
      <x:c r="S143" s="2590" t="s">
        <x:v>760</x:v>
      </x:c>
      <x:c r="T143" s="2590" t="s">
        <x:v>844</x:v>
      </x:c>
      <x:c r="U143" s="2590" t="s">
        <x:v>762</x:v>
      </x:c>
      <x:c r="V143" s="2581" t="s">
        <x:v>763</x:v>
      </x:c>
      <x:c r="W143" s="861"/>
      <x:c r="X143" s="1155"/>
    </x:row>
    <x:row r="144" ht="39" customHeight="1">
      <x:c r="A144" s="2801">
        <x:v>45658</x:v>
      </x:c>
      <x:c r="B144" s="2797">
        <x:v>45747</x:v>
      </x:c>
      <x:c r="C144" s="2590" t="s">
        <x:v>131</x:v>
      </x:c>
      <x:c r="D144" s="2590" t="s">
        <x:v>842</x:v>
      </x:c>
      <x:c r="E144" s="2590" t="s">
        <x:v>843</x:v>
      </x:c>
      <x:c r="F144" s="2590" t="s">
        <x:v>535</x:v>
      </x:c>
      <x:c r="G144" s="2590" t="s">
        <x:v>62</x:v>
      </x:c>
      <x:c r="H144" s="2590" t="s">
        <x:v>782</x:v>
      </x:c>
      <x:c r="I144" s="2590" t="s">
        <x:v>783</x:v>
      </x:c>
      <x:c r="J144" s="2590" t="s">
        <x:v>784</x:v>
      </x:c>
      <x:c r="K144" s="2581" t="s">
        <x:v>666</x:v>
      </x:c>
      <x:c r="L144" s="2581" t="s">
        <x:v>802</x:v>
      </x:c>
      <x:c r="M144" s="2581" t="s">
        <x:v>803</x:v>
      </x:c>
      <x:c r="N144" s="2383">
        <x:v>91</x:v>
      </x:c>
      <x:c r="O144" s="2394"/>
      <x:c r="P144" s="2530">
        <x:v>2.3E-2</x:v>
      </x:c>
      <x:c r="Q144" s="2590" t="s">
        <x:v>787</x:v>
      </x:c>
      <x:c r="R144" s="2581" t="s">
        <x:v>666</x:v>
      </x:c>
      <x:c r="S144" s="2590" t="s">
        <x:v>760</x:v>
      </x:c>
      <x:c r="T144" s="2590" t="s">
        <x:v>844</x:v>
      </x:c>
      <x:c r="U144" s="2590" t="s">
        <x:v>762</x:v>
      </x:c>
      <x:c r="V144" s="2581" t="s">
        <x:v>763</x:v>
      </x:c>
      <x:c r="W144" s="861"/>
      <x:c r="X144" s="1155"/>
    </x:row>
    <x:row r="145" ht="39" customHeight="1">
      <x:c r="A145" s="2801">
        <x:v>45658</x:v>
      </x:c>
      <x:c r="B145" s="2797">
        <x:v>45747</x:v>
      </x:c>
      <x:c r="C145" s="2590" t="s">
        <x:v>131</x:v>
      </x:c>
      <x:c r="D145" s="2590" t="s">
        <x:v>842</x:v>
      </x:c>
      <x:c r="E145" s="2590" t="s">
        <x:v>843</x:v>
      </x:c>
      <x:c r="F145" s="2590" t="s">
        <x:v>535</x:v>
      </x:c>
      <x:c r="G145" s="2590" t="s">
        <x:v>62</x:v>
      </x:c>
      <x:c r="H145" s="2590" t="s">
        <x:v>782</x:v>
      </x:c>
      <x:c r="I145" s="2590" t="s">
        <x:v>783</x:v>
      </x:c>
      <x:c r="J145" s="2590" t="s">
        <x:v>784</x:v>
      </x:c>
      <x:c r="K145" s="2581" t="s">
        <x:v>671</x:v>
      </x:c>
      <x:c r="L145" s="2581" t="s">
        <x:v>809</x:v>
      </x:c>
      <x:c r="M145" s="2581" t="s">
        <x:v>701</x:v>
      </x:c>
      <x:c r="N145" s="2383">
        <x:v>74</x:v>
      </x:c>
      <x:c r="O145" s="2394"/>
      <x:c r="P145" s="2530">
        <x:v>1.7999999999999999E-2</x:v>
      </x:c>
      <x:c r="Q145" s="2590" t="s">
        <x:v>787</x:v>
      </x:c>
      <x:c r="R145" s="2581" t="s">
        <x:v>671</x:v>
      </x:c>
      <x:c r="S145" s="2590" t="s">
        <x:v>760</x:v>
      </x:c>
      <x:c r="T145" s="2590" t="s">
        <x:v>844</x:v>
      </x:c>
      <x:c r="U145" s="2590" t="s">
        <x:v>762</x:v>
      </x:c>
      <x:c r="V145" s="2581" t="s">
        <x:v>763</x:v>
      </x:c>
      <x:c r="W145" s="861"/>
      <x:c r="X145" s="1155"/>
    </x:row>
    <x:row r="146" ht="39" customHeight="1">
      <x:c r="A146" s="2801">
        <x:v>45658</x:v>
      </x:c>
      <x:c r="B146" s="2797">
        <x:v>45747</x:v>
      </x:c>
      <x:c r="C146" s="2590" t="s">
        <x:v>131</x:v>
      </x:c>
      <x:c r="D146" s="2590" t="s">
        <x:v>842</x:v>
      </x:c>
      <x:c r="E146" s="2590" t="s">
        <x:v>843</x:v>
      </x:c>
      <x:c r="F146" s="2590" t="s">
        <x:v>535</x:v>
      </x:c>
      <x:c r="G146" s="2590" t="s">
        <x:v>62</x:v>
      </x:c>
      <x:c r="H146" s="2590" t="s">
        <x:v>782</x:v>
      </x:c>
      <x:c r="I146" s="2590" t="s">
        <x:v>783</x:v>
      </x:c>
      <x:c r="J146" s="2590" t="s">
        <x:v>784</x:v>
      </x:c>
      <x:c r="K146" s="2581" t="s">
        <x:v>834</x:v>
      </x:c>
      <x:c r="L146" s="2581" t="s">
        <x:v>805</x:v>
      </x:c>
      <x:c r="M146" s="2581" t="s">
        <x:v>835</x:v>
      </x:c>
      <x:c r="N146" s="2383">
        <x:v>74</x:v>
      </x:c>
      <x:c r="O146" s="2394"/>
      <x:c r="P146" s="2530">
        <x:v>1.7999999999999999E-2</x:v>
      </x:c>
      <x:c r="Q146" s="2590" t="s">
        <x:v>787</x:v>
      </x:c>
      <x:c r="R146" s="2581" t="s">
        <x:v>834</x:v>
      </x:c>
      <x:c r="S146" s="2590" t="s">
        <x:v>760</x:v>
      </x:c>
      <x:c r="T146" s="2590" t="s">
        <x:v>844</x:v>
      </x:c>
      <x:c r="U146" s="2590" t="s">
        <x:v>762</x:v>
      </x:c>
      <x:c r="V146" s="2581" t="s">
        <x:v>763</x:v>
      </x:c>
      <x:c r="W146" s="861"/>
      <x:c r="X146" s="1155"/>
    </x:row>
    <x:row r="147" ht="39" customHeight="1">
      <x:c r="A147" s="2801">
        <x:v>45658</x:v>
      </x:c>
      <x:c r="B147" s="2797">
        <x:v>45747</x:v>
      </x:c>
      <x:c r="C147" s="2590" t="s">
        <x:v>131</x:v>
      </x:c>
      <x:c r="D147" s="2590" t="s">
        <x:v>842</x:v>
      </x:c>
      <x:c r="E147" s="2590" t="s">
        <x:v>843</x:v>
      </x:c>
      <x:c r="F147" s="2590" t="s">
        <x:v>535</x:v>
      </x:c>
      <x:c r="G147" s="2590" t="s">
        <x:v>62</x:v>
      </x:c>
      <x:c r="H147" s="2590" t="s">
        <x:v>782</x:v>
      </x:c>
      <x:c r="I147" s="2590" t="s">
        <x:v>783</x:v>
      </x:c>
      <x:c r="J147" s="2590" t="s">
        <x:v>784</x:v>
      </x:c>
      <x:c r="K147" s="2581" t="s">
        <x:v>668</x:v>
      </x:c>
      <x:c r="L147" s="2581" t="s">
        <x:v>785</x:v>
      </x:c>
      <x:c r="M147" s="2581" t="s">
        <x:v>810</x:v>
      </x:c>
      <x:c r="N147" s="2383">
        <x:v>69</x:v>
      </x:c>
      <x:c r="O147" s="2394"/>
      <x:c r="P147" s="2530">
        <x:v>1.7000000000000001E-2</x:v>
      </x:c>
      <x:c r="Q147" s="2590" t="s">
        <x:v>787</x:v>
      </x:c>
      <x:c r="R147" s="2581" t="s">
        <x:v>668</x:v>
      </x:c>
      <x:c r="S147" s="2590" t="s">
        <x:v>760</x:v>
      </x:c>
      <x:c r="T147" s="2590" t="s">
        <x:v>844</x:v>
      </x:c>
      <x:c r="U147" s="2590" t="s">
        <x:v>762</x:v>
      </x:c>
      <x:c r="V147" s="2581" t="s">
        <x:v>763</x:v>
      </x:c>
      <x:c r="W147" s="861"/>
      <x:c r="X147" s="1155"/>
    </x:row>
    <x:row r="148" ht="39" customHeight="1">
      <x:c r="A148" s="2801">
        <x:v>45658</x:v>
      </x:c>
      <x:c r="B148" s="2797">
        <x:v>45747</x:v>
      </x:c>
      <x:c r="C148" s="2590" t="s">
        <x:v>131</x:v>
      </x:c>
      <x:c r="D148" s="2590" t="s">
        <x:v>842</x:v>
      </x:c>
      <x:c r="E148" s="2590" t="s">
        <x:v>843</x:v>
      </x:c>
      <x:c r="F148" s="2590" t="s">
        <x:v>535</x:v>
      </x:c>
      <x:c r="G148" s="2590" t="s">
        <x:v>62</x:v>
      </x:c>
      <x:c r="H148" s="2590" t="s">
        <x:v>782</x:v>
      </x:c>
      <x:c r="I148" s="2590" t="s">
        <x:v>783</x:v>
      </x:c>
      <x:c r="J148" s="2590" t="s">
        <x:v>784</x:v>
      </x:c>
      <x:c r="K148" s="2581" t="s">
        <x:v>672</x:v>
      </x:c>
      <x:c r="L148" s="2581" t="s">
        <x:v>791</x:v>
      </x:c>
      <x:c r="M148" s="2581" t="s">
        <x:v>838</x:v>
      </x:c>
      <x:c r="N148" s="2383">
        <x:v>66</x:v>
      </x:c>
      <x:c r="O148" s="2394"/>
      <x:c r="P148" s="2530">
        <x:v>1.6E-2</x:v>
      </x:c>
      <x:c r="Q148" s="2590" t="s">
        <x:v>787</x:v>
      </x:c>
      <x:c r="R148" s="2581" t="s">
        <x:v>672</x:v>
      </x:c>
      <x:c r="S148" s="2590" t="s">
        <x:v>760</x:v>
      </x:c>
      <x:c r="T148" s="2590" t="s">
        <x:v>844</x:v>
      </x:c>
      <x:c r="U148" s="2590" t="s">
        <x:v>762</x:v>
      </x:c>
      <x:c r="V148" s="2581" t="s">
        <x:v>763</x:v>
      </x:c>
      <x:c r="W148" s="861"/>
      <x:c r="X148" s="1155"/>
    </x:row>
    <x:row r="149" ht="39" customHeight="1">
      <x:c r="A149" s="2801">
        <x:v>45658</x:v>
      </x:c>
      <x:c r="B149" s="2797">
        <x:v>45747</x:v>
      </x:c>
      <x:c r="C149" s="2590" t="s">
        <x:v>131</x:v>
      </x:c>
      <x:c r="D149" s="2590" t="s">
        <x:v>842</x:v>
      </x:c>
      <x:c r="E149" s="2590" t="s">
        <x:v>843</x:v>
      </x:c>
      <x:c r="F149" s="2590" t="s">
        <x:v>535</x:v>
      </x:c>
      <x:c r="G149" s="2590" t="s">
        <x:v>776</x:v>
      </x:c>
      <x:c r="H149" s="2590" t="s">
        <x:v>782</x:v>
      </x:c>
      <x:c r="I149" s="2590" t="s">
        <x:v>783</x:v>
      </x:c>
      <x:c r="J149" s="2590" t="s">
        <x:v>784</x:v>
      </x:c>
      <x:c r="K149" s="2581" t="s">
        <x:v>667</x:v>
      </x:c>
      <x:c r="L149" s="2581" t="s">
        <x:v>795</x:v>
      </x:c>
      <x:c r="M149" s="2581" t="s">
        <x:v>796</x:v>
      </x:c>
      <x:c r="N149" s="2383">
        <x:v>269</x:v>
      </x:c>
      <x:c r="O149" s="2394"/>
      <x:c r="P149" s="2530">
        <x:v>0.11899999999999999</x:v>
      </x:c>
      <x:c r="Q149" s="2590" t="s">
        <x:v>787</x:v>
      </x:c>
      <x:c r="R149" s="2581" t="s">
        <x:v>667</x:v>
      </x:c>
      <x:c r="S149" s="2590" t="s">
        <x:v>760</x:v>
      </x:c>
      <x:c r="T149" s="2590" t="s">
        <x:v>844</x:v>
      </x:c>
      <x:c r="U149" s="2590" t="s">
        <x:v>762</x:v>
      </x:c>
      <x:c r="V149" s="2581" t="s">
        <x:v>763</x:v>
      </x:c>
      <x:c r="W149" s="861"/>
      <x:c r="X149" s="1155"/>
    </x:row>
    <x:row r="150" ht="39" customHeight="1">
      <x:c r="A150" s="2801">
        <x:v>45658</x:v>
      </x:c>
      <x:c r="B150" s="2797">
        <x:v>45747</x:v>
      </x:c>
      <x:c r="C150" s="2590" t="s">
        <x:v>131</x:v>
      </x:c>
      <x:c r="D150" s="2590" t="s">
        <x:v>842</x:v>
      </x:c>
      <x:c r="E150" s="2590" t="s">
        <x:v>843</x:v>
      </x:c>
      <x:c r="F150" s="2590" t="s">
        <x:v>535</x:v>
      </x:c>
      <x:c r="G150" s="2590" t="s">
        <x:v>776</x:v>
      </x:c>
      <x:c r="H150" s="2590" t="s">
        <x:v>782</x:v>
      </x:c>
      <x:c r="I150" s="2590" t="s">
        <x:v>783</x:v>
      </x:c>
      <x:c r="J150" s="2590" t="s">
        <x:v>784</x:v>
      </x:c>
      <x:c r="K150" s="2581" t="s">
        <x:v>671</x:v>
      </x:c>
      <x:c r="L150" s="2581" t="s">
        <x:v>809</x:v>
      </x:c>
      <x:c r="M150" s="2581" t="s">
        <x:v>701</x:v>
      </x:c>
      <x:c r="N150" s="2383">
        <x:v>223</x:v>
      </x:c>
      <x:c r="O150" s="2394"/>
      <x:c r="P150" s="2530">
        <x:v>9.9000000000000005E-2</x:v>
      </x:c>
      <x:c r="Q150" s="2590" t="s">
        <x:v>787</x:v>
      </x:c>
      <x:c r="R150" s="2581" t="s">
        <x:v>671</x:v>
      </x:c>
      <x:c r="S150" s="2590" t="s">
        <x:v>760</x:v>
      </x:c>
      <x:c r="T150" s="2590" t="s">
        <x:v>844</x:v>
      </x:c>
      <x:c r="U150" s="2590" t="s">
        <x:v>762</x:v>
      </x:c>
      <x:c r="V150" s="2581" t="s">
        <x:v>763</x:v>
      </x:c>
      <x:c r="W150" s="861"/>
      <x:c r="X150" s="1155"/>
    </x:row>
    <x:row r="151" ht="39" customHeight="1">
      <x:c r="A151" s="2801">
        <x:v>45658</x:v>
      </x:c>
      <x:c r="B151" s="2797">
        <x:v>45747</x:v>
      </x:c>
      <x:c r="C151" s="2590" t="s">
        <x:v>131</x:v>
      </x:c>
      <x:c r="D151" s="2590" t="s">
        <x:v>842</x:v>
      </x:c>
      <x:c r="E151" s="2590" t="s">
        <x:v>843</x:v>
      </x:c>
      <x:c r="F151" s="2590" t="s">
        <x:v>535</x:v>
      </x:c>
      <x:c r="G151" s="2590" t="s">
        <x:v>776</x:v>
      </x:c>
      <x:c r="H151" s="2590" t="s">
        <x:v>782</x:v>
      </x:c>
      <x:c r="I151" s="2590" t="s">
        <x:v>783</x:v>
      </x:c>
      <x:c r="J151" s="2590" t="s">
        <x:v>784</x:v>
      </x:c>
      <x:c r="K151" s="2581" t="s">
        <x:v>684</x:v>
      </x:c>
      <x:c r="L151" s="2581" t="s">
        <x:v>793</x:v>
      </x:c>
      <x:c r="M151" s="2581" t="s">
        <x:v>808</x:v>
      </x:c>
      <x:c r="N151" s="2383">
        <x:v>163</x:v>
      </x:c>
      <x:c r="O151" s="2394"/>
      <x:c r="P151" s="2530">
        <x:v>7.1999999999999995E-2</x:v>
      </x:c>
      <x:c r="Q151" s="2590" t="s">
        <x:v>787</x:v>
      </x:c>
      <x:c r="R151" s="2581" t="s">
        <x:v>684</x:v>
      </x:c>
      <x:c r="S151" s="2590" t="s">
        <x:v>760</x:v>
      </x:c>
      <x:c r="T151" s="2590" t="s">
        <x:v>844</x:v>
      </x:c>
      <x:c r="U151" s="2590" t="s">
        <x:v>762</x:v>
      </x:c>
      <x:c r="V151" s="2581" t="s">
        <x:v>763</x:v>
      </x:c>
      <x:c r="W151" s="861"/>
      <x:c r="X151" s="1155"/>
    </x:row>
    <x:row r="152" ht="39" customHeight="1">
      <x:c r="A152" s="2801">
        <x:v>45658</x:v>
      </x:c>
      <x:c r="B152" s="2797">
        <x:v>45747</x:v>
      </x:c>
      <x:c r="C152" s="2590" t="s">
        <x:v>131</x:v>
      </x:c>
      <x:c r="D152" s="2590" t="s">
        <x:v>842</x:v>
      </x:c>
      <x:c r="E152" s="2590" t="s">
        <x:v>843</x:v>
      </x:c>
      <x:c r="F152" s="2590" t="s">
        <x:v>535</x:v>
      </x:c>
      <x:c r="G152" s="2590" t="s">
        <x:v>776</x:v>
      </x:c>
      <x:c r="H152" s="2590" t="s">
        <x:v>782</x:v>
      </x:c>
      <x:c r="I152" s="2590" t="s">
        <x:v>783</x:v>
      </x:c>
      <x:c r="J152" s="2590" t="s">
        <x:v>784</x:v>
      </x:c>
      <x:c r="K152" s="2581" t="s">
        <x:v>686</x:v>
      </x:c>
      <x:c r="L152" s="2581" t="s">
        <x:v>809</x:v>
      </x:c>
      <x:c r="M152" s="2581" t="s">
        <x:v>704</x:v>
      </x:c>
      <x:c r="N152" s="2383">
        <x:v>152</x:v>
      </x:c>
      <x:c r="O152" s="2394"/>
      <x:c r="P152" s="2530">
        <x:v>6.7000000000000004E-2</x:v>
      </x:c>
      <x:c r="Q152" s="2590" t="s">
        <x:v>787</x:v>
      </x:c>
      <x:c r="R152" s="2581" t="s">
        <x:v>686</x:v>
      </x:c>
      <x:c r="S152" s="2590" t="s">
        <x:v>760</x:v>
      </x:c>
      <x:c r="T152" s="2590" t="s">
        <x:v>844</x:v>
      </x:c>
      <x:c r="U152" s="2590" t="s">
        <x:v>762</x:v>
      </x:c>
      <x:c r="V152" s="2581" t="s">
        <x:v>763</x:v>
      </x:c>
      <x:c r="W152" s="861"/>
      <x:c r="X152" s="1155"/>
    </x:row>
    <x:row r="153" ht="39" customHeight="1">
      <x:c r="A153" s="2801">
        <x:v>45658</x:v>
      </x:c>
      <x:c r="B153" s="2797">
        <x:v>45747</x:v>
      </x:c>
      <x:c r="C153" s="2590" t="s">
        <x:v>131</x:v>
      </x:c>
      <x:c r="D153" s="2590" t="s">
        <x:v>842</x:v>
      </x:c>
      <x:c r="E153" s="2590" t="s">
        <x:v>843</x:v>
      </x:c>
      <x:c r="F153" s="2590" t="s">
        <x:v>535</x:v>
      </x:c>
      <x:c r="G153" s="2590" t="s">
        <x:v>776</x:v>
      </x:c>
      <x:c r="H153" s="2590" t="s">
        <x:v>782</x:v>
      </x:c>
      <x:c r="I153" s="2590" t="s">
        <x:v>783</x:v>
      </x:c>
      <x:c r="J153" s="2590" t="s">
        <x:v>784</x:v>
      </x:c>
      <x:c r="K153" s="2581" t="s">
        <x:v>685</x:v>
      </x:c>
      <x:c r="L153" s="2581" t="s">
        <x:v>793</x:v>
      </x:c>
      <x:c r="M153" s="2581" t="s">
        <x:v>703</x:v>
      </x:c>
      <x:c r="N153" s="2383">
        <x:v>108</x:v>
      </x:c>
      <x:c r="O153" s="2394"/>
      <x:c r="P153" s="2530">
        <x:v>4.8000000000000001E-2</x:v>
      </x:c>
      <x:c r="Q153" s="2590" t="s">
        <x:v>787</x:v>
      </x:c>
      <x:c r="R153" s="2581" t="s">
        <x:v>685</x:v>
      </x:c>
      <x:c r="S153" s="2590" t="s">
        <x:v>760</x:v>
      </x:c>
      <x:c r="T153" s="2590" t="s">
        <x:v>844</x:v>
      </x:c>
      <x:c r="U153" s="2590" t="s">
        <x:v>762</x:v>
      </x:c>
      <x:c r="V153" s="2581" t="s">
        <x:v>763</x:v>
      </x:c>
      <x:c r="W153" s="861"/>
      <x:c r="X153" s="1155"/>
    </x:row>
    <x:row r="154" ht="39" customHeight="1">
      <x:c r="A154" s="2801">
        <x:v>45658</x:v>
      </x:c>
      <x:c r="B154" s="2797">
        <x:v>45747</x:v>
      </x:c>
      <x:c r="C154" s="2590" t="s">
        <x:v>131</x:v>
      </x:c>
      <x:c r="D154" s="2590" t="s">
        <x:v>842</x:v>
      </x:c>
      <x:c r="E154" s="2590" t="s">
        <x:v>843</x:v>
      </x:c>
      <x:c r="F154" s="2590" t="s">
        <x:v>535</x:v>
      </x:c>
      <x:c r="G154" s="2590" t="s">
        <x:v>776</x:v>
      </x:c>
      <x:c r="H154" s="2590" t="s">
        <x:v>782</x:v>
      </x:c>
      <x:c r="I154" s="2590" t="s">
        <x:v>783</x:v>
      </x:c>
      <x:c r="J154" s="2590" t="s">
        <x:v>784</x:v>
      </x:c>
      <x:c r="K154" s="2581" t="s">
        <x:v>658</x:v>
      </x:c>
      <x:c r="L154" s="2581" t="s">
        <x:v>788</x:v>
      </x:c>
      <x:c r="M154" s="2581" t="s">
        <x:v>800</x:v>
      </x:c>
      <x:c r="N154" s="2383">
        <x:v>92</x:v>
      </x:c>
      <x:c r="O154" s="2394"/>
      <x:c r="P154" s="2530">
        <x:v>4.1000000000000002E-2</x:v>
      </x:c>
      <x:c r="Q154" s="2590" t="s">
        <x:v>787</x:v>
      </x:c>
      <x:c r="R154" s="2581" t="s">
        <x:v>658</x:v>
      </x:c>
      <x:c r="S154" s="2590" t="s">
        <x:v>760</x:v>
      </x:c>
      <x:c r="T154" s="2590" t="s">
        <x:v>844</x:v>
      </x:c>
      <x:c r="U154" s="2590" t="s">
        <x:v>762</x:v>
      </x:c>
      <x:c r="V154" s="2581" t="s">
        <x:v>763</x:v>
      </x:c>
      <x:c r="W154" s="861"/>
      <x:c r="X154" s="1155"/>
    </x:row>
    <x:row r="155" ht="39" customHeight="1">
      <x:c r="A155" s="2801">
        <x:v>45658</x:v>
      </x:c>
      <x:c r="B155" s="2797">
        <x:v>45747</x:v>
      </x:c>
      <x:c r="C155" s="2590" t="s">
        <x:v>131</x:v>
      </x:c>
      <x:c r="D155" s="2590" t="s">
        <x:v>842</x:v>
      </x:c>
      <x:c r="E155" s="2590" t="s">
        <x:v>843</x:v>
      </x:c>
      <x:c r="F155" s="2590" t="s">
        <x:v>535</x:v>
      </x:c>
      <x:c r="G155" s="2590" t="s">
        <x:v>776</x:v>
      </x:c>
      <x:c r="H155" s="2590" t="s">
        <x:v>782</x:v>
      </x:c>
      <x:c r="I155" s="2590" t="s">
        <x:v>783</x:v>
      </x:c>
      <x:c r="J155" s="2590" t="s">
        <x:v>784</x:v>
      </x:c>
      <x:c r="K155" s="2581" t="s">
        <x:v>688</x:v>
      </x:c>
      <x:c r="L155" s="2581" t="s">
        <x:v>793</x:v>
      </x:c>
      <x:c r="M155" s="2581" t="s">
        <x:v>816</x:v>
      </x:c>
      <x:c r="N155" s="2383">
        <x:v>91</x:v>
      </x:c>
      <x:c r="O155" s="2394"/>
      <x:c r="P155" s="2530">
        <x:v>0.04</x:v>
      </x:c>
      <x:c r="Q155" s="2590" t="s">
        <x:v>787</x:v>
      </x:c>
      <x:c r="R155" s="2581" t="s">
        <x:v>688</x:v>
      </x:c>
      <x:c r="S155" s="2590" t="s">
        <x:v>760</x:v>
      </x:c>
      <x:c r="T155" s="2590" t="s">
        <x:v>844</x:v>
      </x:c>
      <x:c r="U155" s="2590" t="s">
        <x:v>762</x:v>
      </x:c>
      <x:c r="V155" s="2581" t="s">
        <x:v>763</x:v>
      </x:c>
      <x:c r="W155" s="861"/>
      <x:c r="X155" s="1155"/>
    </x:row>
    <x:row r="156" ht="39" customHeight="1">
      <x:c r="A156" s="2801">
        <x:v>45658</x:v>
      </x:c>
      <x:c r="B156" s="2797">
        <x:v>45747</x:v>
      </x:c>
      <x:c r="C156" s="2590" t="s">
        <x:v>131</x:v>
      </x:c>
      <x:c r="D156" s="2590" t="s">
        <x:v>842</x:v>
      </x:c>
      <x:c r="E156" s="2590" t="s">
        <x:v>843</x:v>
      </x:c>
      <x:c r="F156" s="2590" t="s">
        <x:v>535</x:v>
      </x:c>
      <x:c r="G156" s="2590" t="s">
        <x:v>776</x:v>
      </x:c>
      <x:c r="H156" s="2590" t="s">
        <x:v>782</x:v>
      </x:c>
      <x:c r="I156" s="2590" t="s">
        <x:v>783</x:v>
      </x:c>
      <x:c r="J156" s="2590" t="s">
        <x:v>784</x:v>
      </x:c>
      <x:c r="K156" s="2581" t="s">
        <x:v>687</x:v>
      </x:c>
      <x:c r="L156" s="2581" t="s">
        <x:v>809</x:v>
      </x:c>
      <x:c r="M156" s="2581" t="s">
        <x:v>814</x:v>
      </x:c>
      <x:c r="N156" s="2383">
        <x:v>90</x:v>
      </x:c>
      <x:c r="O156" s="2394"/>
      <x:c r="P156" s="2530">
        <x:v>0.04</x:v>
      </x:c>
      <x:c r="Q156" s="2590" t="s">
        <x:v>787</x:v>
      </x:c>
      <x:c r="R156" s="2581" t="s">
        <x:v>687</x:v>
      </x:c>
      <x:c r="S156" s="2590" t="s">
        <x:v>760</x:v>
      </x:c>
      <x:c r="T156" s="2590" t="s">
        <x:v>844</x:v>
      </x:c>
      <x:c r="U156" s="2590" t="s">
        <x:v>762</x:v>
      </x:c>
      <x:c r="V156" s="2581" t="s">
        <x:v>763</x:v>
      </x:c>
      <x:c r="W156" s="861"/>
      <x:c r="X156" s="1155"/>
    </x:row>
    <x:row r="157" ht="39" customHeight="1">
      <x:c r="A157" s="2801">
        <x:v>45658</x:v>
      </x:c>
      <x:c r="B157" s="2797">
        <x:v>45747</x:v>
      </x:c>
      <x:c r="C157" s="2590" t="s">
        <x:v>131</x:v>
      </x:c>
      <x:c r="D157" s="2590" t="s">
        <x:v>842</x:v>
      </x:c>
      <x:c r="E157" s="2590" t="s">
        <x:v>843</x:v>
      </x:c>
      <x:c r="F157" s="2590" t="s">
        <x:v>535</x:v>
      </x:c>
      <x:c r="G157" s="2590" t="s">
        <x:v>776</x:v>
      </x:c>
      <x:c r="H157" s="2590" t="s">
        <x:v>782</x:v>
      </x:c>
      <x:c r="I157" s="2590" t="s">
        <x:v>783</x:v>
      </x:c>
      <x:c r="J157" s="2590" t="s">
        <x:v>784</x:v>
      </x:c>
      <x:c r="K157" s="2581" t="s">
        <x:v>690</x:v>
      </x:c>
      <x:c r="L157" s="2581" t="s">
        <x:v>809</x:v>
      </x:c>
      <x:c r="M157" s="2581" t="s">
        <x:v>815</x:v>
      </x:c>
      <x:c r="N157" s="2383">
        <x:v>88</x:v>
      </x:c>
      <x:c r="O157" s="2394"/>
      <x:c r="P157" s="2530">
        <x:v>3.9E-2</x:v>
      </x:c>
      <x:c r="Q157" s="2590" t="s">
        <x:v>787</x:v>
      </x:c>
      <x:c r="R157" s="2581" t="s">
        <x:v>690</x:v>
      </x:c>
      <x:c r="S157" s="2590" t="s">
        <x:v>760</x:v>
      </x:c>
      <x:c r="T157" s="2590" t="s">
        <x:v>844</x:v>
      </x:c>
      <x:c r="U157" s="2590" t="s">
        <x:v>762</x:v>
      </x:c>
      <x:c r="V157" s="2581" t="s">
        <x:v>763</x:v>
      </x:c>
      <x:c r="W157" s="861"/>
      <x:c r="X157" s="1155"/>
    </x:row>
    <x:row r="158" ht="39" customHeight="1">
      <x:c r="A158" s="2801">
        <x:v>45658</x:v>
      </x:c>
      <x:c r="B158" s="2797">
        <x:v>45747</x:v>
      </x:c>
      <x:c r="C158" s="2590" t="s">
        <x:v>131</x:v>
      </x:c>
      <x:c r="D158" s="2590" t="s">
        <x:v>842</x:v>
      </x:c>
      <x:c r="E158" s="2590" t="s">
        <x:v>843</x:v>
      </x:c>
      <x:c r="F158" s="2590" t="s">
        <x:v>535</x:v>
      </x:c>
      <x:c r="G158" s="2590" t="s">
        <x:v>776</x:v>
      </x:c>
      <x:c r="H158" s="2590" t="s">
        <x:v>782</x:v>
      </x:c>
      <x:c r="I158" s="2590" t="s">
        <x:v>783</x:v>
      </x:c>
      <x:c r="J158" s="2590" t="s">
        <x:v>784</x:v>
      </x:c>
      <x:c r="K158" s="2581" t="s">
        <x:v>691</x:v>
      </x:c>
      <x:c r="L158" s="2581" t="s">
        <x:v>819</x:v>
      </x:c>
      <x:c r="M158" s="2581" t="s">
        <x:v>820</x:v>
      </x:c>
      <x:c r="N158" s="2383">
        <x:v>83</x:v>
      </x:c>
      <x:c r="O158" s="2394"/>
      <x:c r="P158" s="2530">
        <x:v>3.6999999999999998E-2</x:v>
      </x:c>
      <x:c r="Q158" s="2590" t="s">
        <x:v>787</x:v>
      </x:c>
      <x:c r="R158" s="2581" t="s">
        <x:v>691</x:v>
      </x:c>
      <x:c r="S158" s="2590" t="s">
        <x:v>760</x:v>
      </x:c>
      <x:c r="T158" s="2590" t="s">
        <x:v>844</x:v>
      </x:c>
      <x:c r="U158" s="2590" t="s">
        <x:v>762</x:v>
      </x:c>
      <x:c r="V158" s="2581" t="s">
        <x:v>763</x:v>
      </x:c>
      <x:c r="W158" s="861"/>
      <x:c r="X158" s="1155"/>
    </x:row>
    <x:row r="159" ht="39" customHeight="1">
      <x:c r="A159" s="2801">
        <x:v>45658</x:v>
      </x:c>
      <x:c r="B159" s="2797">
        <x:v>45747</x:v>
      </x:c>
      <x:c r="C159" s="2590" t="s">
        <x:v>131</x:v>
      </x:c>
      <x:c r="D159" s="2590" t="s">
        <x:v>842</x:v>
      </x:c>
      <x:c r="E159" s="2590" t="s">
        <x:v>843</x:v>
      </x:c>
      <x:c r="F159" s="2590" t="s">
        <x:v>535</x:v>
      </x:c>
      <x:c r="G159" s="2590" t="s">
        <x:v>776</x:v>
      </x:c>
      <x:c r="H159" s="2590" t="s">
        <x:v>782</x:v>
      </x:c>
      <x:c r="I159" s="2590" t="s">
        <x:v>783</x:v>
      </x:c>
      <x:c r="J159" s="2590" t="s">
        <x:v>784</x:v>
      </x:c>
      <x:c r="K159" s="2581" t="s">
        <x:v>694</x:v>
      </x:c>
      <x:c r="L159" s="2581" t="s">
        <x:v>817</x:v>
      </x:c>
      <x:c r="M159" s="2581" t="s">
        <x:v>818</x:v>
      </x:c>
      <x:c r="N159" s="2383">
        <x:v>82</x:v>
      </x:c>
      <x:c r="O159" s="2394"/>
      <x:c r="P159" s="2530">
        <x:v>3.5999999999999997E-2</x:v>
      </x:c>
      <x:c r="Q159" s="2590" t="s">
        <x:v>787</x:v>
      </x:c>
      <x:c r="R159" s="2581" t="s">
        <x:v>694</x:v>
      </x:c>
      <x:c r="S159" s="2590" t="s">
        <x:v>760</x:v>
      </x:c>
      <x:c r="T159" s="2590" t="s">
        <x:v>844</x:v>
      </x:c>
      <x:c r="U159" s="2590" t="s">
        <x:v>762</x:v>
      </x:c>
      <x:c r="V159" s="2581" t="s">
        <x:v>763</x:v>
      </x:c>
      <x:c r="W159" s="861"/>
      <x:c r="X159" s="1155"/>
    </x:row>
    <x:row r="160" ht="39" customHeight="1">
      <x:c r="A160" s="2801">
        <x:v>45658</x:v>
      </x:c>
      <x:c r="B160" s="2797">
        <x:v>45747</x:v>
      </x:c>
      <x:c r="C160" s="2590" t="s">
        <x:v>131</x:v>
      </x:c>
      <x:c r="D160" s="2590" t="s">
        <x:v>842</x:v>
      </x:c>
      <x:c r="E160" s="2590" t="s">
        <x:v>843</x:v>
      </x:c>
      <x:c r="F160" s="2590" t="s">
        <x:v>535</x:v>
      </x:c>
      <x:c r="G160" s="2590" t="s">
        <x:v>776</x:v>
      </x:c>
      <x:c r="H160" s="2590" t="s">
        <x:v>782</x:v>
      </x:c>
      <x:c r="I160" s="2590" t="s">
        <x:v>783</x:v>
      </x:c>
      <x:c r="J160" s="2590" t="s">
        <x:v>784</x:v>
      </x:c>
      <x:c r="K160" s="2581" t="s">
        <x:v>689</x:v>
      </x:c>
      <x:c r="L160" s="2581" t="s">
        <x:v>809</x:v>
      </x:c>
      <x:c r="M160" s="2581" t="s">
        <x:v>813</x:v>
      </x:c>
      <x:c r="N160" s="2383">
        <x:v>72</x:v>
      </x:c>
      <x:c r="O160" s="2394"/>
      <x:c r="P160" s="2530">
        <x:v>3.2000000000000001E-2</x:v>
      </x:c>
      <x:c r="Q160" s="2590" t="s">
        <x:v>787</x:v>
      </x:c>
      <x:c r="R160" s="2581" t="s">
        <x:v>689</x:v>
      </x:c>
      <x:c r="S160" s="2590" t="s">
        <x:v>760</x:v>
      </x:c>
      <x:c r="T160" s="2590" t="s">
        <x:v>844</x:v>
      </x:c>
      <x:c r="U160" s="2590" t="s">
        <x:v>762</x:v>
      </x:c>
      <x:c r="V160" s="2581" t="s">
        <x:v>763</x:v>
      </x:c>
      <x:c r="W160" s="861"/>
      <x:c r="X160" s="1155"/>
    </x:row>
    <x:row r="161" ht="39" customHeight="1">
      <x:c r="A161" s="2801">
        <x:v>45658</x:v>
      </x:c>
      <x:c r="B161" s="2797">
        <x:v>45747</x:v>
      </x:c>
      <x:c r="C161" s="2590" t="s">
        <x:v>131</x:v>
      </x:c>
      <x:c r="D161" s="2590" t="s">
        <x:v>842</x:v>
      </x:c>
      <x:c r="E161" s="2590" t="s">
        <x:v>843</x:v>
      </x:c>
      <x:c r="F161" s="2590" t="s">
        <x:v>535</x:v>
      </x:c>
      <x:c r="G161" s="2590" t="s">
        <x:v>776</x:v>
      </x:c>
      <x:c r="H161" s="2590" t="s">
        <x:v>782</x:v>
      </x:c>
      <x:c r="I161" s="2590" t="s">
        <x:v>783</x:v>
      </x:c>
      <x:c r="J161" s="2590" t="s">
        <x:v>784</x:v>
      </x:c>
      <x:c r="K161" s="2581" t="s">
        <x:v>692</x:v>
      </x:c>
      <x:c r="L161" s="2581" t="s">
        <x:v>821</x:v>
      </x:c>
      <x:c r="M161" s="2581" t="s">
        <x:v>822</x:v>
      </x:c>
      <x:c r="N161" s="2383">
        <x:v>70</x:v>
      </x:c>
      <x:c r="O161" s="2394"/>
      <x:c r="P161" s="2530">
        <x:v>3.1E-2</x:v>
      </x:c>
      <x:c r="Q161" s="2590" t="s">
        <x:v>787</x:v>
      </x:c>
      <x:c r="R161" s="2581" t="s">
        <x:v>692</x:v>
      </x:c>
      <x:c r="S161" s="2590" t="s">
        <x:v>760</x:v>
      </x:c>
      <x:c r="T161" s="2590" t="s">
        <x:v>844</x:v>
      </x:c>
      <x:c r="U161" s="2590" t="s">
        <x:v>762</x:v>
      </x:c>
      <x:c r="V161" s="2581" t="s">
        <x:v>763</x:v>
      </x:c>
      <x:c r="W161" s="861"/>
      <x:c r="X161" s="1155"/>
    </x:row>
    <x:row r="162" ht="39" customHeight="1">
      <x:c r="A162" s="2801">
        <x:v>45658</x:v>
      </x:c>
      <x:c r="B162" s="2797">
        <x:v>45747</x:v>
      </x:c>
      <x:c r="C162" s="2590" t="s">
        <x:v>131</x:v>
      </x:c>
      <x:c r="D162" s="2590" t="s">
        <x:v>842</x:v>
      </x:c>
      <x:c r="E162" s="2590" t="s">
        <x:v>843</x:v>
      </x:c>
      <x:c r="F162" s="2590" t="s">
        <x:v>535</x:v>
      </x:c>
      <x:c r="G162" s="2590" t="s">
        <x:v>776</x:v>
      </x:c>
      <x:c r="H162" s="2590" t="s">
        <x:v>782</x:v>
      </x:c>
      <x:c r="I162" s="2590" t="s">
        <x:v>783</x:v>
      </x:c>
      <x:c r="J162" s="2590" t="s">
        <x:v>784</x:v>
      </x:c>
      <x:c r="K162" s="2581" t="s">
        <x:v>693</x:v>
      </x:c>
      <x:c r="L162" s="2581" t="s">
        <x:v>823</x:v>
      </x:c>
      <x:c r="M162" s="2581" t="s">
        <x:v>824</x:v>
      </x:c>
      <x:c r="N162" s="2383">
        <x:v>59</x:v>
      </x:c>
      <x:c r="O162" s="2394"/>
      <x:c r="P162" s="2530">
        <x:v>2.5999999999999999E-2</x:v>
      </x:c>
      <x:c r="Q162" s="2590" t="s">
        <x:v>787</x:v>
      </x:c>
      <x:c r="R162" s="2581" t="s">
        <x:v>693</x:v>
      </x:c>
      <x:c r="S162" s="2590" t="s">
        <x:v>760</x:v>
      </x:c>
      <x:c r="T162" s="2590" t="s">
        <x:v>844</x:v>
      </x:c>
      <x:c r="U162" s="2590" t="s">
        <x:v>762</x:v>
      </x:c>
      <x:c r="V162" s="2581" t="s">
        <x:v>763</x:v>
      </x:c>
      <x:c r="W162" s="861"/>
      <x:c r="X162" s="1155"/>
    </x:row>
    <x:row r="163" ht="39" customHeight="1">
      <x:c r="A163" s="2801">
        <x:v>45658</x:v>
      </x:c>
      <x:c r="B163" s="2797">
        <x:v>45747</x:v>
      </x:c>
      <x:c r="C163" s="2590" t="s">
        <x:v>131</x:v>
      </x:c>
      <x:c r="D163" s="2590" t="s">
        <x:v>842</x:v>
      </x:c>
      <x:c r="E163" s="2590" t="s">
        <x:v>843</x:v>
      </x:c>
      <x:c r="F163" s="2590" t="s">
        <x:v>535</x:v>
      </x:c>
      <x:c r="G163" s="2590" t="s">
        <x:v>776</x:v>
      </x:c>
      <x:c r="H163" s="2590" t="s">
        <x:v>782</x:v>
      </x:c>
      <x:c r="I163" s="2590" t="s">
        <x:v>783</x:v>
      </x:c>
      <x:c r="J163" s="2590" t="s">
        <x:v>784</x:v>
      </x:c>
      <x:c r="K163" s="2581" t="s">
        <x:v>697</x:v>
      </x:c>
      <x:c r="L163" s="2581" t="s">
        <x:v>795</x:v>
      </x:c>
      <x:c r="M163" s="2581" t="s">
        <x:v>828</x:v>
      </x:c>
      <x:c r="N163" s="2383">
        <x:v>53</x:v>
      </x:c>
      <x:c r="O163" s="2394"/>
      <x:c r="P163" s="2530">
        <x:v>2.3E-2</x:v>
      </x:c>
      <x:c r="Q163" s="2590" t="s">
        <x:v>787</x:v>
      </x:c>
      <x:c r="R163" s="2581" t="s">
        <x:v>697</x:v>
      </x:c>
      <x:c r="S163" s="2590" t="s">
        <x:v>760</x:v>
      </x:c>
      <x:c r="T163" s="2590" t="s">
        <x:v>844</x:v>
      </x:c>
      <x:c r="U163" s="2590" t="s">
        <x:v>762</x:v>
      </x:c>
      <x:c r="V163" s="2581" t="s">
        <x:v>763</x:v>
      </x:c>
      <x:c r="W163" s="861"/>
      <x:c r="X163" s="1155"/>
    </x:row>
    <x:row r="164" ht="39" customHeight="1">
      <x:c r="A164" s="2801">
        <x:v>45658</x:v>
      </x:c>
      <x:c r="B164" s="2797">
        <x:v>45747</x:v>
      </x:c>
      <x:c r="C164" s="2590" t="s">
        <x:v>131</x:v>
      </x:c>
      <x:c r="D164" s="2590" t="s">
        <x:v>842</x:v>
      </x:c>
      <x:c r="E164" s="2590" t="s">
        <x:v>843</x:v>
      </x:c>
      <x:c r="F164" s="2590" t="s">
        <x:v>535</x:v>
      </x:c>
      <x:c r="G164" s="2590" t="s">
        <x:v>776</x:v>
      </x:c>
      <x:c r="H164" s="2590" t="s">
        <x:v>782</x:v>
      </x:c>
      <x:c r="I164" s="2590" t="s">
        <x:v>783</x:v>
      </x:c>
      <x:c r="J164" s="2590" t="s">
        <x:v>784</x:v>
      </x:c>
      <x:c r="K164" s="2581" t="s">
        <x:v>663</x:v>
      </x:c>
      <x:c r="L164" s="2581" t="s">
        <x:v>795</x:v>
      </x:c>
      <x:c r="M164" s="2581" t="s">
        <x:v>804</x:v>
      </x:c>
      <x:c r="N164" s="2383">
        <x:v>46</x:v>
      </x:c>
      <x:c r="O164" s="2394"/>
      <x:c r="P164" s="2530">
        <x:v>0.02</x:v>
      </x:c>
      <x:c r="Q164" s="2590" t="s">
        <x:v>787</x:v>
      </x:c>
      <x:c r="R164" s="2581" t="s">
        <x:v>663</x:v>
      </x:c>
      <x:c r="S164" s="2590" t="s">
        <x:v>760</x:v>
      </x:c>
      <x:c r="T164" s="2590" t="s">
        <x:v>844</x:v>
      </x:c>
      <x:c r="U164" s="2590" t="s">
        <x:v>762</x:v>
      </x:c>
      <x:c r="V164" s="2581" t="s">
        <x:v>763</x:v>
      </x:c>
      <x:c r="W164" s="861"/>
      <x:c r="X164" s="1155"/>
    </x:row>
    <x:row r="165" ht="39" customHeight="1">
      <x:c r="A165" s="2801">
        <x:v>45658</x:v>
      </x:c>
      <x:c r="B165" s="2797">
        <x:v>45747</x:v>
      </x:c>
      <x:c r="C165" s="2590" t="s">
        <x:v>131</x:v>
      </x:c>
      <x:c r="D165" s="2590" t="s">
        <x:v>842</x:v>
      </x:c>
      <x:c r="E165" s="2590" t="s">
        <x:v>843</x:v>
      </x:c>
      <x:c r="F165" s="2590" t="s">
        <x:v>535</x:v>
      </x:c>
      <x:c r="G165" s="2590" t="s">
        <x:v>776</x:v>
      </x:c>
      <x:c r="H165" s="2590" t="s">
        <x:v>782</x:v>
      </x:c>
      <x:c r="I165" s="2590" t="s">
        <x:v>783</x:v>
      </x:c>
      <x:c r="J165" s="2590" t="s">
        <x:v>784</x:v>
      </x:c>
      <x:c r="K165" s="2581" t="s">
        <x:v>661</x:v>
      </x:c>
      <x:c r="L165" s="2581" t="s">
        <x:v>795</x:v>
      </x:c>
      <x:c r="M165" s="2581" t="s">
        <x:v>797</x:v>
      </x:c>
      <x:c r="N165" s="2383">
        <x:v>46</x:v>
      </x:c>
      <x:c r="O165" s="2394"/>
      <x:c r="P165" s="2530">
        <x:v>0.02</x:v>
      </x:c>
      <x:c r="Q165" s="2590" t="s">
        <x:v>787</x:v>
      </x:c>
      <x:c r="R165" s="2581" t="s">
        <x:v>661</x:v>
      </x:c>
      <x:c r="S165" s="2590" t="s">
        <x:v>760</x:v>
      </x:c>
      <x:c r="T165" s="2590" t="s">
        <x:v>844</x:v>
      </x:c>
      <x:c r="U165" s="2590" t="s">
        <x:v>762</x:v>
      </x:c>
      <x:c r="V165" s="2581" t="s">
        <x:v>763</x:v>
      </x:c>
      <x:c r="W165" s="861"/>
      <x:c r="X165" s="1155"/>
    </x:row>
    <x:row r="166" ht="39" customHeight="1">
      <x:c r="A166" s="2801">
        <x:v>45658</x:v>
      </x:c>
      <x:c r="B166" s="2797">
        <x:v>45747</x:v>
      </x:c>
      <x:c r="C166" s="2590" t="s">
        <x:v>131</x:v>
      </x:c>
      <x:c r="D166" s="2590" t="s">
        <x:v>842</x:v>
      </x:c>
      <x:c r="E166" s="2590" t="s">
        <x:v>843</x:v>
      </x:c>
      <x:c r="F166" s="2590" t="s">
        <x:v>535</x:v>
      </x:c>
      <x:c r="G166" s="2590" t="s">
        <x:v>776</x:v>
      </x:c>
      <x:c r="H166" s="2590" t="s">
        <x:v>782</x:v>
      </x:c>
      <x:c r="I166" s="2590" t="s">
        <x:v>783</x:v>
      </x:c>
      <x:c r="J166" s="2590" t="s">
        <x:v>784</x:v>
      </x:c>
      <x:c r="K166" s="2581" t="s">
        <x:v>695</x:v>
      </x:c>
      <x:c r="L166" s="2581" t="s">
        <x:v>823</x:v>
      </x:c>
      <x:c r="M166" s="2581" t="s">
        <x:v>839</x:v>
      </x:c>
      <x:c r="N166" s="2383">
        <x:v>39</x:v>
      </x:c>
      <x:c r="O166" s="2394"/>
      <x:c r="P166" s="2530">
        <x:v>1.7000000000000001E-2</x:v>
      </x:c>
      <x:c r="Q166" s="2590" t="s">
        <x:v>787</x:v>
      </x:c>
      <x:c r="R166" s="2581" t="s">
        <x:v>695</x:v>
      </x:c>
      <x:c r="S166" s="2590" t="s">
        <x:v>760</x:v>
      </x:c>
      <x:c r="T166" s="2590" t="s">
        <x:v>844</x:v>
      </x:c>
      <x:c r="U166" s="2590" t="s">
        <x:v>762</x:v>
      </x:c>
      <x:c r="V166" s="2581" t="s">
        <x:v>763</x:v>
      </x:c>
      <x:c r="W166" s="861"/>
      <x:c r="X166" s="1155"/>
    </x:row>
    <x:row r="167" ht="39" customHeight="1">
      <x:c r="A167" s="2801">
        <x:v>45658</x:v>
      </x:c>
      <x:c r="B167" s="2797">
        <x:v>45747</x:v>
      </x:c>
      <x:c r="C167" s="2590" t="s">
        <x:v>131</x:v>
      </x:c>
      <x:c r="D167" s="2590" t="s">
        <x:v>842</x:v>
      </x:c>
      <x:c r="E167" s="2590" t="s">
        <x:v>843</x:v>
      </x:c>
      <x:c r="F167" s="2590" t="s">
        <x:v>535</x:v>
      </x:c>
      <x:c r="G167" s="2590" t="s">
        <x:v>776</x:v>
      </x:c>
      <x:c r="H167" s="2590" t="s">
        <x:v>782</x:v>
      </x:c>
      <x:c r="I167" s="2590" t="s">
        <x:v>783</x:v>
      </x:c>
      <x:c r="J167" s="2590" t="s">
        <x:v>784</x:v>
      </x:c>
      <x:c r="K167" s="2581" t="s">
        <x:v>845</x:v>
      </x:c>
      <x:c r="L167" s="2581" t="s">
        <x:v>846</x:v>
      </x:c>
      <x:c r="M167" s="2581" t="s">
        <x:v>847</x:v>
      </x:c>
      <x:c r="N167" s="2383">
        <x:v>39</x:v>
      </x:c>
      <x:c r="O167" s="2394"/>
      <x:c r="P167" s="2530">
        <x:v>1.7000000000000001E-2</x:v>
      </x:c>
      <x:c r="Q167" s="2590" t="s">
        <x:v>787</x:v>
      </x:c>
      <x:c r="R167" s="2581" t="s">
        <x:v>845</x:v>
      </x:c>
      <x:c r="S167" s="2590" t="s">
        <x:v>760</x:v>
      </x:c>
      <x:c r="T167" s="2590" t="s">
        <x:v>844</x:v>
      </x:c>
      <x:c r="U167" s="2590" t="s">
        <x:v>762</x:v>
      </x:c>
      <x:c r="V167" s="2581" t="s">
        <x:v>763</x:v>
      </x:c>
      <x:c r="W167" s="861"/>
      <x:c r="X167" s="1155"/>
    </x:row>
    <x:row r="168" ht="39" customHeight="1">
      <x:c r="A168" s="2801">
        <x:v>45658</x:v>
      </x:c>
      <x:c r="B168" s="2797">
        <x:v>45747</x:v>
      </x:c>
      <x:c r="C168" s="2590" t="s">
        <x:v>131</x:v>
      </x:c>
      <x:c r="D168" s="2590" t="s">
        <x:v>842</x:v>
      </x:c>
      <x:c r="E168" s="2590" t="s">
        <x:v>843</x:v>
      </x:c>
      <x:c r="F168" s="2590" t="s">
        <x:v>535</x:v>
      </x:c>
      <x:c r="G168" s="2590" t="s">
        <x:v>776</x:v>
      </x:c>
      <x:c r="H168" s="2590" t="s">
        <x:v>782</x:v>
      </x:c>
      <x:c r="I168" s="2590" t="s">
        <x:v>783</x:v>
      </x:c>
      <x:c r="J168" s="2590" t="s">
        <x:v>784</x:v>
      </x:c>
      <x:c r="K168" s="2581" t="s">
        <x:v>696</x:v>
      </x:c>
      <x:c r="L168" s="2581" t="s">
        <x:v>819</x:v>
      </x:c>
      <x:c r="M168" s="2581" t="s">
        <x:v>825</x:v>
      </x:c>
      <x:c r="N168" s="2383">
        <x:v>38</x:v>
      </x:c>
      <x:c r="O168" s="2394"/>
      <x:c r="P168" s="2530">
        <x:v>1.7000000000000001E-2</x:v>
      </x:c>
      <x:c r="Q168" s="2590" t="s">
        <x:v>787</x:v>
      </x:c>
      <x:c r="R168" s="2581" t="s">
        <x:v>696</x:v>
      </x:c>
      <x:c r="S168" s="2590" t="s">
        <x:v>760</x:v>
      </x:c>
      <x:c r="T168" s="2590" t="s">
        <x:v>844</x:v>
      </x:c>
      <x:c r="U168" s="2590" t="s">
        <x:v>762</x:v>
      </x:c>
      <x:c r="V168" s="2581" t="s">
        <x:v>763</x:v>
      </x:c>
      <x:c r="W168" s="861"/>
      <x:c r="X168" s="1155"/>
    </x:row>
    <x:row r="169" ht="39" customHeight="1">
      <x:c r="A169" s="2801">
        <x:v>45748</x:v>
      </x:c>
      <x:c r="B169" s="2797">
        <x:v>45838</x:v>
      </x:c>
      <x:c r="C169" s="2590" t="s">
        <x:v>131</x:v>
      </x:c>
      <x:c r="D169" s="2590" t="s">
        <x:v>848</x:v>
      </x:c>
      <x:c r="E169" s="2590" t="s">
        <x:v>849</x:v>
      </x:c>
      <x:c r="F169" s="2590" t="s">
        <x:v>535</x:v>
      </x:c>
      <x:c r="G169" s="2590" t="s">
        <x:v>62</x:v>
      </x:c>
      <x:c r="H169" s="2590" t="s">
        <x:v>756</x:v>
      </x:c>
      <x:c r="I169" s="2590" t="s">
        <x:v>757</x:v>
      </x:c>
      <x:c r="J169" s="2590" t="s">
        <x:v>758</x:v>
      </x:c>
      <x:c r="K169" s="2581" t="s">
        <x:v>759</x:v>
      </x:c>
      <x:c r="L169" s="2818"/>
      <x:c r="M169" s="2818"/>
      <x:c r="N169" s="2383">
        <x:v>1731</x:v>
      </x:c>
      <x:c r="O169" s="2394"/>
      <x:c r="P169" s="2530"/>
      <x:c r="Q169" s="2590" t="s">
        <x:v>320</x:v>
      </x:c>
      <x:c r="R169" s="2581" t="s">
        <x:v>757</x:v>
      </x:c>
      <x:c r="S169" s="2590" t="s">
        <x:v>760</x:v>
      </x:c>
      <x:c r="T169" s="2590" t="s">
        <x:v>850</x:v>
      </x:c>
      <x:c r="U169" s="2590" t="s">
        <x:v>762</x:v>
      </x:c>
      <x:c r="V169" s="2581" t="s">
        <x:v>763</x:v>
      </x:c>
      <x:c r="W169" s="861"/>
      <x:c r="X169" s="1155"/>
    </x:row>
    <x:row r="170" ht="39" customHeight="1">
      <x:c r="A170" s="2801">
        <x:v>45748</x:v>
      </x:c>
      <x:c r="B170" s="2797">
        <x:v>45838</x:v>
      </x:c>
      <x:c r="C170" s="2590" t="s">
        <x:v>131</x:v>
      </x:c>
      <x:c r="D170" s="2590" t="s">
        <x:v>848</x:v>
      </x:c>
      <x:c r="E170" s="2590" t="s">
        <x:v>849</x:v>
      </x:c>
      <x:c r="F170" s="2590" t="s">
        <x:v>535</x:v>
      </x:c>
      <x:c r="G170" s="2590" t="s">
        <x:v>62</x:v>
      </x:c>
      <x:c r="H170" s="2590" t="s">
        <x:v>764</x:v>
      </x:c>
      <x:c r="I170" s="2590" t="s">
        <x:v>765</x:v>
      </x:c>
      <x:c r="J170" s="2590" t="s">
        <x:v>758</x:v>
      </x:c>
      <x:c r="K170" s="2581" t="s">
        <x:v>759</x:v>
      </x:c>
      <x:c r="L170" s="2818"/>
      <x:c r="M170" s="2818"/>
      <x:c r="N170" s="2383"/>
      <x:c r="O170" s="2394">
        <x:v>0.9</x:v>
      </x:c>
      <x:c r="P170" s="2530"/>
      <x:c r="Q170" s="2590" t="s">
        <x:v>766</x:v>
      </x:c>
      <x:c r="R170" s="2581" t="s">
        <x:v>767</x:v>
      </x:c>
      <x:c r="S170" s="2590" t="s">
        <x:v>760</x:v>
      </x:c>
      <x:c r="T170" s="2590" t="s">
        <x:v>850</x:v>
      </x:c>
      <x:c r="U170" s="2590" t="s">
        <x:v>762</x:v>
      </x:c>
      <x:c r="V170" s="2581" t="s">
        <x:v>763</x:v>
      </x:c>
      <x:c r="W170" s="861"/>
      <x:c r="X170" s="1155"/>
    </x:row>
    <x:row r="171" ht="39" customHeight="1">
      <x:c r="A171" s="2801">
        <x:v>45748</x:v>
      </x:c>
      <x:c r="B171" s="2797">
        <x:v>45838</x:v>
      </x:c>
      <x:c r="C171" s="2590" t="s">
        <x:v>131</x:v>
      </x:c>
      <x:c r="D171" s="2590" t="s">
        <x:v>848</x:v>
      </x:c>
      <x:c r="E171" s="2590" t="s">
        <x:v>849</x:v>
      </x:c>
      <x:c r="F171" s="2590" t="s">
        <x:v>535</x:v>
      </x:c>
      <x:c r="G171" s="2590" t="s">
        <x:v>768</x:v>
      </x:c>
      <x:c r="H171" s="2590" t="s">
        <x:v>756</x:v>
      </x:c>
      <x:c r="I171" s="2590" t="s">
        <x:v>757</x:v>
      </x:c>
      <x:c r="J171" s="2590" t="s">
        <x:v>769</x:v>
      </x:c>
      <x:c r="K171" s="2581" t="s">
        <x:v>70</x:v>
      </x:c>
      <x:c r="L171" s="2818"/>
      <x:c r="M171" s="2818"/>
      <x:c r="N171" s="2383">
        <x:v>1032</x:v>
      </x:c>
      <x:c r="O171" s="2394"/>
      <x:c r="P171" s="2530"/>
      <x:c r="Q171" s="2590" t="s">
        <x:v>320</x:v>
      </x:c>
      <x:c r="R171" s="2581" t="s">
        <x:v>770</x:v>
      </x:c>
      <x:c r="S171" s="2590" t="s">
        <x:v>760</x:v>
      </x:c>
      <x:c r="T171" s="2590" t="s">
        <x:v>850</x:v>
      </x:c>
      <x:c r="U171" s="2590" t="s">
        <x:v>762</x:v>
      </x:c>
      <x:c r="V171" s="2581" t="s">
        <x:v>763</x:v>
      </x:c>
      <x:c r="W171" s="861"/>
      <x:c r="X171" s="1155"/>
    </x:row>
    <x:row r="172" ht="39" customHeight="1">
      <x:c r="A172" s="2801">
        <x:v>45748</x:v>
      </x:c>
      <x:c r="B172" s="2797">
        <x:v>45838</x:v>
      </x:c>
      <x:c r="C172" s="2590" t="s">
        <x:v>131</x:v>
      </x:c>
      <x:c r="D172" s="2590" t="s">
        <x:v>848</x:v>
      </x:c>
      <x:c r="E172" s="2590" t="s">
        <x:v>849</x:v>
      </x:c>
      <x:c r="F172" s="2590" t="s">
        <x:v>535</x:v>
      </x:c>
      <x:c r="G172" s="2590" t="s">
        <x:v>768</x:v>
      </x:c>
      <x:c r="H172" s="2590" t="s">
        <x:v>764</x:v>
      </x:c>
      <x:c r="I172" s="2590" t="s">
        <x:v>765</x:v>
      </x:c>
      <x:c r="J172" s="2590" t="s">
        <x:v>769</x:v>
      </x:c>
      <x:c r="K172" s="2581" t="s">
        <x:v>70</x:v>
      </x:c>
      <x:c r="L172" s="2818"/>
      <x:c r="M172" s="2818"/>
      <x:c r="N172" s="2383"/>
      <x:c r="O172" s="2394">
        <x:v>34.590000000000003</x:v>
      </x:c>
      <x:c r="P172" s="2530"/>
      <x:c r="Q172" s="2590" t="s">
        <x:v>771</x:v>
      </x:c>
      <x:c r="R172" s="2581" t="s">
        <x:v>772</x:v>
      </x:c>
      <x:c r="S172" s="2590" t="s">
        <x:v>760</x:v>
      </x:c>
      <x:c r="T172" s="2590" t="s">
        <x:v>850</x:v>
      </x:c>
      <x:c r="U172" s="2590" t="s">
        <x:v>762</x:v>
      </x:c>
      <x:c r="V172" s="2581" t="s">
        <x:v>763</x:v>
      </x:c>
      <x:c r="W172" s="861"/>
      <x:c r="X172" s="1155"/>
    </x:row>
    <x:row r="173" ht="39" customHeight="1">
      <x:c r="A173" s="2801">
        <x:v>45748</x:v>
      </x:c>
      <x:c r="B173" s="2797">
        <x:v>45838</x:v>
      </x:c>
      <x:c r="C173" s="2590" t="s">
        <x:v>131</x:v>
      </x:c>
      <x:c r="D173" s="2590" t="s">
        <x:v>848</x:v>
      </x:c>
      <x:c r="E173" s="2590" t="s">
        <x:v>849</x:v>
      </x:c>
      <x:c r="F173" s="2590" t="s">
        <x:v>535</x:v>
      </x:c>
      <x:c r="G173" s="2590" t="s">
        <x:v>773</x:v>
      </x:c>
      <x:c r="H173" s="2590" t="s">
        <x:v>756</x:v>
      </x:c>
      <x:c r="I173" s="2590" t="s">
        <x:v>757</x:v>
      </x:c>
      <x:c r="J173" s="2590" t="s">
        <x:v>769</x:v>
      </x:c>
      <x:c r="K173" s="2581" t="s">
        <x:v>77</x:v>
      </x:c>
      <x:c r="L173" s="2818"/>
      <x:c r="M173" s="2818"/>
      <x:c r="N173" s="2383">
        <x:v>140</x:v>
      </x:c>
      <x:c r="O173" s="2394"/>
      <x:c r="P173" s="2530"/>
      <x:c r="Q173" s="2590" t="s">
        <x:v>320</x:v>
      </x:c>
      <x:c r="R173" s="2581" t="s">
        <x:v>774</x:v>
      </x:c>
      <x:c r="S173" s="2590" t="s">
        <x:v>760</x:v>
      </x:c>
      <x:c r="T173" s="2590" t="s">
        <x:v>850</x:v>
      </x:c>
      <x:c r="U173" s="2590" t="s">
        <x:v>762</x:v>
      </x:c>
      <x:c r="V173" s="2581" t="s">
        <x:v>763</x:v>
      </x:c>
      <x:c r="W173" s="861"/>
      <x:c r="X173" s="1155"/>
    </x:row>
    <x:row r="174" ht="39" customHeight="1">
      <x:c r="A174" s="2801">
        <x:v>45748</x:v>
      </x:c>
      <x:c r="B174" s="2797">
        <x:v>45838</x:v>
      </x:c>
      <x:c r="C174" s="2590" t="s">
        <x:v>131</x:v>
      </x:c>
      <x:c r="D174" s="2590" t="s">
        <x:v>848</x:v>
      </x:c>
      <x:c r="E174" s="2590" t="s">
        <x:v>849</x:v>
      </x:c>
      <x:c r="F174" s="2590" t="s">
        <x:v>535</x:v>
      </x:c>
      <x:c r="G174" s="2590" t="s">
        <x:v>773</x:v>
      </x:c>
      <x:c r="H174" s="2590" t="s">
        <x:v>764</x:v>
      </x:c>
      <x:c r="I174" s="2590" t="s">
        <x:v>765</x:v>
      </x:c>
      <x:c r="J174" s="2590" t="s">
        <x:v>769</x:v>
      </x:c>
      <x:c r="K174" s="2581" t="s">
        <x:v>77</x:v>
      </x:c>
      <x:c r="L174" s="2818"/>
      <x:c r="M174" s="2818"/>
      <x:c r="N174" s="2383"/>
      <x:c r="O174" s="2394">
        <x:v>1.68</x:v>
      </x:c>
      <x:c r="P174" s="2530"/>
      <x:c r="Q174" s="2590" t="s">
        <x:v>771</x:v>
      </x:c>
      <x:c r="R174" s="2581" t="s">
        <x:v>775</x:v>
      </x:c>
      <x:c r="S174" s="2590" t="s">
        <x:v>760</x:v>
      </x:c>
      <x:c r="T174" s="2590" t="s">
        <x:v>850</x:v>
      </x:c>
      <x:c r="U174" s="2590" t="s">
        <x:v>762</x:v>
      </x:c>
      <x:c r="V174" s="2581" t="s">
        <x:v>763</x:v>
      </x:c>
      <x:c r="W174" s="861"/>
      <x:c r="X174" s="1155"/>
    </x:row>
    <x:row r="175" ht="39" customHeight="1">
      <x:c r="A175" s="2801">
        <x:v>45748</x:v>
      </x:c>
      <x:c r="B175" s="2797">
        <x:v>45838</x:v>
      </x:c>
      <x:c r="C175" s="2590" t="s">
        <x:v>131</x:v>
      </x:c>
      <x:c r="D175" s="2590" t="s">
        <x:v>848</x:v>
      </x:c>
      <x:c r="E175" s="2590" t="s">
        <x:v>849</x:v>
      </x:c>
      <x:c r="F175" s="2590" t="s">
        <x:v>535</x:v>
      </x:c>
      <x:c r="G175" s="2590" t="s">
        <x:v>776</x:v>
      </x:c>
      <x:c r="H175" s="2590" t="s">
        <x:v>756</x:v>
      </x:c>
      <x:c r="I175" s="2590" t="s">
        <x:v>757</x:v>
      </x:c>
      <x:c r="J175" s="2590" t="s">
        <x:v>758</x:v>
      </x:c>
      <x:c r="K175" s="2581" t="s">
        <x:v>777</x:v>
      </x:c>
      <x:c r="L175" s="2818"/>
      <x:c r="M175" s="2818"/>
      <x:c r="N175" s="2383">
        <x:v>1172</x:v>
      </x:c>
      <x:c r="O175" s="2394"/>
      <x:c r="P175" s="2530"/>
      <x:c r="Q175" s="2590" t="s">
        <x:v>320</x:v>
      </x:c>
      <x:c r="R175" s="2581" t="s">
        <x:v>778</x:v>
      </x:c>
      <x:c r="S175" s="2590" t="s">
        <x:v>760</x:v>
      </x:c>
      <x:c r="T175" s="2590" t="s">
        <x:v>850</x:v>
      </x:c>
      <x:c r="U175" s="2590" t="s">
        <x:v>762</x:v>
      </x:c>
      <x:c r="V175" s="2581" t="s">
        <x:v>763</x:v>
      </x:c>
      <x:c r="W175" s="861"/>
      <x:c r="X175" s="1155"/>
    </x:row>
    <x:row r="176" ht="39" customHeight="1">
      <x:c r="A176" s="2801">
        <x:v>45748</x:v>
      </x:c>
      <x:c r="B176" s="2797">
        <x:v>45838</x:v>
      </x:c>
      <x:c r="C176" s="2590" t="s">
        <x:v>131</x:v>
      </x:c>
      <x:c r="D176" s="2590" t="s">
        <x:v>848</x:v>
      </x:c>
      <x:c r="E176" s="2590" t="s">
        <x:v>849</x:v>
      </x:c>
      <x:c r="F176" s="2590" t="s">
        <x:v>535</x:v>
      </x:c>
      <x:c r="G176" s="2590" t="s">
        <x:v>62</x:v>
      </x:c>
      <x:c r="H176" s="2590" t="s">
        <x:v>756</x:v>
      </x:c>
      <x:c r="I176" s="2590" t="s">
        <x:v>779</x:v>
      </x:c>
      <x:c r="J176" s="2590" t="s">
        <x:v>780</x:v>
      </x:c>
      <x:c r="K176" s="2581" t="s">
        <x:v>647</x:v>
      </x:c>
      <x:c r="L176" s="2818"/>
      <x:c r="M176" s="2818"/>
      <x:c r="N176" s="2383">
        <x:v>771</x:v>
      </x:c>
      <x:c r="O176" s="2394"/>
      <x:c r="P176" s="2530"/>
      <x:c r="Q176" s="2590" t="s">
        <x:v>320</x:v>
      </x:c>
      <x:c r="R176" s="2581" t="s">
        <x:v>647</x:v>
      </x:c>
      <x:c r="S176" s="2590" t="s">
        <x:v>760</x:v>
      </x:c>
      <x:c r="T176" s="2590" t="s">
        <x:v>850</x:v>
      </x:c>
      <x:c r="U176" s="2590" t="s">
        <x:v>762</x:v>
      </x:c>
      <x:c r="V176" s="2581" t="s">
        <x:v>763</x:v>
      </x:c>
      <x:c r="W176" s="861"/>
      <x:c r="X176" s="1155"/>
    </x:row>
    <x:row r="177" ht="39" customHeight="1">
      <x:c r="A177" s="2801">
        <x:v>45748</x:v>
      </x:c>
      <x:c r="B177" s="2797">
        <x:v>45838</x:v>
      </x:c>
      <x:c r="C177" s="2590" t="s">
        <x:v>131</x:v>
      </x:c>
      <x:c r="D177" s="2590" t="s">
        <x:v>848</x:v>
      </x:c>
      <x:c r="E177" s="2590" t="s">
        <x:v>849</x:v>
      </x:c>
      <x:c r="F177" s="2590" t="s">
        <x:v>535</x:v>
      </x:c>
      <x:c r="G177" s="2590" t="s">
        <x:v>62</x:v>
      </x:c>
      <x:c r="H177" s="2590" t="s">
        <x:v>756</x:v>
      </x:c>
      <x:c r="I177" s="2590" t="s">
        <x:v>779</x:v>
      </x:c>
      <x:c r="J177" s="2590" t="s">
        <x:v>780</x:v>
      </x:c>
      <x:c r="K177" s="2581" t="s">
        <x:v>648</x:v>
      </x:c>
      <x:c r="L177" s="2818"/>
      <x:c r="M177" s="2818"/>
      <x:c r="N177" s="2383">
        <x:v>589</x:v>
      </x:c>
      <x:c r="O177" s="2394"/>
      <x:c r="P177" s="2530"/>
      <x:c r="Q177" s="2590" t="s">
        <x:v>320</x:v>
      </x:c>
      <x:c r="R177" s="2581" t="s">
        <x:v>648</x:v>
      </x:c>
      <x:c r="S177" s="2590" t="s">
        <x:v>760</x:v>
      </x:c>
      <x:c r="T177" s="2590" t="s">
        <x:v>850</x:v>
      </x:c>
      <x:c r="U177" s="2590" t="s">
        <x:v>762</x:v>
      </x:c>
      <x:c r="V177" s="2581" t="s">
        <x:v>763</x:v>
      </x:c>
      <x:c r="W177" s="861"/>
      <x:c r="X177" s="1155"/>
    </x:row>
    <x:row r="178" ht="39" customHeight="1">
      <x:c r="A178" s="2801">
        <x:v>45748</x:v>
      </x:c>
      <x:c r="B178" s="2797">
        <x:v>45838</x:v>
      </x:c>
      <x:c r="C178" s="2590" t="s">
        <x:v>131</x:v>
      </x:c>
      <x:c r="D178" s="2590" t="s">
        <x:v>848</x:v>
      </x:c>
      <x:c r="E178" s="2590" t="s">
        <x:v>849</x:v>
      </x:c>
      <x:c r="F178" s="2590" t="s">
        <x:v>535</x:v>
      </x:c>
      <x:c r="G178" s="2590" t="s">
        <x:v>62</x:v>
      </x:c>
      <x:c r="H178" s="2590" t="s">
        <x:v>756</x:v>
      </x:c>
      <x:c r="I178" s="2590" t="s">
        <x:v>779</x:v>
      </x:c>
      <x:c r="J178" s="2590" t="s">
        <x:v>780</x:v>
      </x:c>
      <x:c r="K178" s="2581" t="s">
        <x:v>781</x:v>
      </x:c>
      <x:c r="L178" s="2818"/>
      <x:c r="M178" s="2818"/>
      <x:c r="N178" s="2383">
        <x:v>226</x:v>
      </x:c>
      <x:c r="O178" s="2394"/>
      <x:c r="P178" s="2530"/>
      <x:c r="Q178" s="2590" t="s">
        <x:v>320</x:v>
      </x:c>
      <x:c r="R178" s="2581" t="s">
        <x:v>649</x:v>
      </x:c>
      <x:c r="S178" s="2590" t="s">
        <x:v>760</x:v>
      </x:c>
      <x:c r="T178" s="2590" t="s">
        <x:v>850</x:v>
      </x:c>
      <x:c r="U178" s="2590" t="s">
        <x:v>762</x:v>
      </x:c>
      <x:c r="V178" s="2581" t="s">
        <x:v>763</x:v>
      </x:c>
      <x:c r="W178" s="861"/>
      <x:c r="X178" s="1155"/>
    </x:row>
    <x:row r="179" ht="39" customHeight="1">
      <x:c r="A179" s="2801">
        <x:v>45748</x:v>
      </x:c>
      <x:c r="B179" s="2797">
        <x:v>45838</x:v>
      </x:c>
      <x:c r="C179" s="2590" t="s">
        <x:v>131</x:v>
      </x:c>
      <x:c r="D179" s="2590" t="s">
        <x:v>848</x:v>
      </x:c>
      <x:c r="E179" s="2590" t="s">
        <x:v>849</x:v>
      </x:c>
      <x:c r="F179" s="2590" t="s">
        <x:v>535</x:v>
      </x:c>
      <x:c r="G179" s="2590" t="s">
        <x:v>62</x:v>
      </x:c>
      <x:c r="H179" s="2590" t="s">
        <x:v>756</x:v>
      </x:c>
      <x:c r="I179" s="2590" t="s">
        <x:v>779</x:v>
      </x:c>
      <x:c r="J179" s="2590" t="s">
        <x:v>780</x:v>
      </x:c>
      <x:c r="K179" s="2581" t="s">
        <x:v>650</x:v>
      </x:c>
      <x:c r="L179" s="2818"/>
      <x:c r="M179" s="2818"/>
      <x:c r="N179" s="2383">
        <x:v>145</x:v>
      </x:c>
      <x:c r="O179" s="2394"/>
      <x:c r="P179" s="2530"/>
      <x:c r="Q179" s="2590" t="s">
        <x:v>320</x:v>
      </x:c>
      <x:c r="R179" s="2581" t="s">
        <x:v>650</x:v>
      </x:c>
      <x:c r="S179" s="2590" t="s">
        <x:v>760</x:v>
      </x:c>
      <x:c r="T179" s="2590" t="s">
        <x:v>850</x:v>
      </x:c>
      <x:c r="U179" s="2590" t="s">
        <x:v>762</x:v>
      </x:c>
      <x:c r="V179" s="2581" t="s">
        <x:v>763</x:v>
      </x:c>
      <x:c r="W179" s="861"/>
      <x:c r="X179" s="1155"/>
    </x:row>
    <x:row r="180" ht="39" customHeight="1">
      <x:c r="A180" s="2801">
        <x:v>45748</x:v>
      </x:c>
      <x:c r="B180" s="2797">
        <x:v>45838</x:v>
      </x:c>
      <x:c r="C180" s="2590" t="s">
        <x:v>131</x:v>
      </x:c>
      <x:c r="D180" s="2590" t="s">
        <x:v>848</x:v>
      </x:c>
      <x:c r="E180" s="2590" t="s">
        <x:v>849</x:v>
      </x:c>
      <x:c r="F180" s="2590" t="s">
        <x:v>535</x:v>
      </x:c>
      <x:c r="G180" s="2590" t="s">
        <x:v>776</x:v>
      </x:c>
      <x:c r="H180" s="2590" t="s">
        <x:v>756</x:v>
      </x:c>
      <x:c r="I180" s="2590" t="s">
        <x:v>779</x:v>
      </x:c>
      <x:c r="J180" s="2590" t="s">
        <x:v>780</x:v>
      </x:c>
      <x:c r="K180" s="2581" t="s">
        <x:v>650</x:v>
      </x:c>
      <x:c r="L180" s="2818"/>
      <x:c r="M180" s="2818"/>
      <x:c r="N180" s="2383">
        <x:v>548</x:v>
      </x:c>
      <x:c r="O180" s="2394"/>
      <x:c r="P180" s="2530"/>
      <x:c r="Q180" s="2590" t="s">
        <x:v>320</x:v>
      </x:c>
      <x:c r="R180" s="2581" t="s">
        <x:v>650</x:v>
      </x:c>
      <x:c r="S180" s="2590" t="s">
        <x:v>760</x:v>
      </x:c>
      <x:c r="T180" s="2590" t="s">
        <x:v>850</x:v>
      </x:c>
      <x:c r="U180" s="2590" t="s">
        <x:v>762</x:v>
      </x:c>
      <x:c r="V180" s="2581" t="s">
        <x:v>763</x:v>
      </x:c>
      <x:c r="W180" s="861"/>
      <x:c r="X180" s="1155"/>
    </x:row>
    <x:row r="181" ht="39" customHeight="1">
      <x:c r="A181" s="2801">
        <x:v>45748</x:v>
      </x:c>
      <x:c r="B181" s="2797">
        <x:v>45838</x:v>
      </x:c>
      <x:c r="C181" s="2590" t="s">
        <x:v>131</x:v>
      </x:c>
      <x:c r="D181" s="2590" t="s">
        <x:v>848</x:v>
      </x:c>
      <x:c r="E181" s="2590" t="s">
        <x:v>849</x:v>
      </x:c>
      <x:c r="F181" s="2590" t="s">
        <x:v>535</x:v>
      </x:c>
      <x:c r="G181" s="2590" t="s">
        <x:v>776</x:v>
      </x:c>
      <x:c r="H181" s="2590" t="s">
        <x:v>756</x:v>
      </x:c>
      <x:c r="I181" s="2590" t="s">
        <x:v>779</x:v>
      </x:c>
      <x:c r="J181" s="2590" t="s">
        <x:v>780</x:v>
      </x:c>
      <x:c r="K181" s="2581" t="s">
        <x:v>647</x:v>
      </x:c>
      <x:c r="L181" s="2818"/>
      <x:c r="M181" s="2818"/>
      <x:c r="N181" s="2383">
        <x:v>458</x:v>
      </x:c>
      <x:c r="O181" s="2394"/>
      <x:c r="P181" s="2530"/>
      <x:c r="Q181" s="2590" t="s">
        <x:v>320</x:v>
      </x:c>
      <x:c r="R181" s="2581" t="s">
        <x:v>647</x:v>
      </x:c>
      <x:c r="S181" s="2590" t="s">
        <x:v>760</x:v>
      </x:c>
      <x:c r="T181" s="2590" t="s">
        <x:v>850</x:v>
      </x:c>
      <x:c r="U181" s="2590" t="s">
        <x:v>762</x:v>
      </x:c>
      <x:c r="V181" s="2581" t="s">
        <x:v>763</x:v>
      </x:c>
      <x:c r="W181" s="861"/>
      <x:c r="X181" s="1155"/>
    </x:row>
    <x:row r="182" ht="39" customHeight="1">
      <x:c r="A182" s="2801">
        <x:v>45748</x:v>
      </x:c>
      <x:c r="B182" s="2797">
        <x:v>45838</x:v>
      </x:c>
      <x:c r="C182" s="2590" t="s">
        <x:v>131</x:v>
      </x:c>
      <x:c r="D182" s="2590" t="s">
        <x:v>848</x:v>
      </x:c>
      <x:c r="E182" s="2590" t="s">
        <x:v>849</x:v>
      </x:c>
      <x:c r="F182" s="2590" t="s">
        <x:v>535</x:v>
      </x:c>
      <x:c r="G182" s="2590" t="s">
        <x:v>776</x:v>
      </x:c>
      <x:c r="H182" s="2590" t="s">
        <x:v>756</x:v>
      </x:c>
      <x:c r="I182" s="2590" t="s">
        <x:v>779</x:v>
      </x:c>
      <x:c r="J182" s="2590" t="s">
        <x:v>780</x:v>
      </x:c>
      <x:c r="K182" s="2581" t="s">
        <x:v>781</x:v>
      </x:c>
      <x:c r="L182" s="2818"/>
      <x:c r="M182" s="2818"/>
      <x:c r="N182" s="2383">
        <x:v>85</x:v>
      </x:c>
      <x:c r="O182" s="2394"/>
      <x:c r="P182" s="2530"/>
      <x:c r="Q182" s="2590" t="s">
        <x:v>320</x:v>
      </x:c>
      <x:c r="R182" s="2581" t="s">
        <x:v>649</x:v>
      </x:c>
      <x:c r="S182" s="2590" t="s">
        <x:v>760</x:v>
      </x:c>
      <x:c r="T182" s="2590" t="s">
        <x:v>850</x:v>
      </x:c>
      <x:c r="U182" s="2590" t="s">
        <x:v>762</x:v>
      </x:c>
      <x:c r="V182" s="2581" t="s">
        <x:v>763</x:v>
      </x:c>
      <x:c r="W182" s="861"/>
      <x:c r="X182" s="1155"/>
    </x:row>
    <x:row r="183" ht="39" customHeight="1">
      <x:c r="A183" s="2801">
        <x:v>45748</x:v>
      </x:c>
      <x:c r="B183" s="2797">
        <x:v>45838</x:v>
      </x:c>
      <x:c r="C183" s="2590" t="s">
        <x:v>131</x:v>
      </x:c>
      <x:c r="D183" s="2590" t="s">
        <x:v>848</x:v>
      </x:c>
      <x:c r="E183" s="2590" t="s">
        <x:v>849</x:v>
      </x:c>
      <x:c r="F183" s="2590" t="s">
        <x:v>535</x:v>
      </x:c>
      <x:c r="G183" s="2590" t="s">
        <x:v>776</x:v>
      </x:c>
      <x:c r="H183" s="2590" t="s">
        <x:v>756</x:v>
      </x:c>
      <x:c r="I183" s="2590" t="s">
        <x:v>779</x:v>
      </x:c>
      <x:c r="J183" s="2590" t="s">
        <x:v>780</x:v>
      </x:c>
      <x:c r="K183" s="2581" t="s">
        <x:v>648</x:v>
      </x:c>
      <x:c r="L183" s="2818"/>
      <x:c r="M183" s="2818"/>
      <x:c r="N183" s="2383">
        <x:v>81</x:v>
      </x:c>
      <x:c r="O183" s="2394"/>
      <x:c r="P183" s="2530"/>
      <x:c r="Q183" s="2590" t="s">
        <x:v>320</x:v>
      </x:c>
      <x:c r="R183" s="2581" t="s">
        <x:v>648</x:v>
      </x:c>
      <x:c r="S183" s="2590" t="s">
        <x:v>760</x:v>
      </x:c>
      <x:c r="T183" s="2590" t="s">
        <x:v>850</x:v>
      </x:c>
      <x:c r="U183" s="2590" t="s">
        <x:v>762</x:v>
      </x:c>
      <x:c r="V183" s="2581" t="s">
        <x:v>763</x:v>
      </x:c>
      <x:c r="W183" s="861"/>
      <x:c r="X183" s="1155"/>
    </x:row>
    <x:row r="184" ht="39" customHeight="1">
      <x:c r="A184" s="2801">
        <x:v>45748</x:v>
      </x:c>
      <x:c r="B184" s="2797">
        <x:v>45838</x:v>
      </x:c>
      <x:c r="C184" s="2590" t="s">
        <x:v>131</x:v>
      </x:c>
      <x:c r="D184" s="2590" t="s">
        <x:v>848</x:v>
      </x:c>
      <x:c r="E184" s="2590" t="s">
        <x:v>849</x:v>
      </x:c>
      <x:c r="F184" s="2590" t="s">
        <x:v>535</x:v>
      </x:c>
      <x:c r="G184" s="2590" t="s">
        <x:v>62</x:v>
      </x:c>
      <x:c r="H184" s="2590" t="s">
        <x:v>782</x:v>
      </x:c>
      <x:c r="I184" s="2590" t="s">
        <x:v>783</x:v>
      </x:c>
      <x:c r="J184" s="2590" t="s">
        <x:v>784</x:v>
      </x:c>
      <x:c r="K184" s="2581" t="s">
        <x:v>654</x:v>
      </x:c>
      <x:c r="L184" s="2581" t="s">
        <x:v>785</x:v>
      </x:c>
      <x:c r="M184" s="2581" t="s">
        <x:v>790</x:v>
      </x:c>
      <x:c r="N184" s="2383">
        <x:v>204</x:v>
      </x:c>
      <x:c r="O184" s="2394"/>
      <x:c r="P184" s="2530">
        <x:v>0.05</x:v>
      </x:c>
      <x:c r="Q184" s="2590" t="s">
        <x:v>787</x:v>
      </x:c>
      <x:c r="R184" s="2581" t="s">
        <x:v>654</x:v>
      </x:c>
      <x:c r="S184" s="2590" t="s">
        <x:v>760</x:v>
      </x:c>
      <x:c r="T184" s="2590" t="s">
        <x:v>850</x:v>
      </x:c>
      <x:c r="U184" s="2590" t="s">
        <x:v>762</x:v>
      </x:c>
      <x:c r="V184" s="2581" t="s">
        <x:v>763</x:v>
      </x:c>
      <x:c r="W184" s="861"/>
      <x:c r="X184" s="1155"/>
    </x:row>
    <x:row r="185" ht="39" customHeight="1">
      <x:c r="A185" s="2801">
        <x:v>45748</x:v>
      </x:c>
      <x:c r="B185" s="2797">
        <x:v>45838</x:v>
      </x:c>
      <x:c r="C185" s="2590" t="s">
        <x:v>131</x:v>
      </x:c>
      <x:c r="D185" s="2590" t="s">
        <x:v>848</x:v>
      </x:c>
      <x:c r="E185" s="2590" t="s">
        <x:v>849</x:v>
      </x:c>
      <x:c r="F185" s="2590" t="s">
        <x:v>535</x:v>
      </x:c>
      <x:c r="G185" s="2590" t="s">
        <x:v>62</x:v>
      </x:c>
      <x:c r="H185" s="2590" t="s">
        <x:v>782</x:v>
      </x:c>
      <x:c r="I185" s="2590" t="s">
        <x:v>783</x:v>
      </x:c>
      <x:c r="J185" s="2590" t="s">
        <x:v>784</x:v>
      </x:c>
      <x:c r="K185" s="2581" t="s">
        <x:v>655</x:v>
      </x:c>
      <x:c r="L185" s="2581" t="s">
        <x:v>785</x:v>
      </x:c>
      <x:c r="M185" s="2581" t="s">
        <x:v>786</x:v>
      </x:c>
      <x:c r="N185" s="2383">
        <x:v>204</x:v>
      </x:c>
      <x:c r="O185" s="2394"/>
      <x:c r="P185" s="2530">
        <x:v>0.05</x:v>
      </x:c>
      <x:c r="Q185" s="2590" t="s">
        <x:v>787</x:v>
      </x:c>
      <x:c r="R185" s="2581" t="s">
        <x:v>655</x:v>
      </x:c>
      <x:c r="S185" s="2590" t="s">
        <x:v>760</x:v>
      </x:c>
      <x:c r="T185" s="2590" t="s">
        <x:v>850</x:v>
      </x:c>
      <x:c r="U185" s="2590" t="s">
        <x:v>762</x:v>
      </x:c>
      <x:c r="V185" s="2581" t="s">
        <x:v>763</x:v>
      </x:c>
      <x:c r="W185" s="861"/>
      <x:c r="X185" s="1155"/>
    </x:row>
    <x:row r="186" ht="39" customHeight="1">
      <x:c r="A186" s="2801">
        <x:v>45748</x:v>
      </x:c>
      <x:c r="B186" s="2797">
        <x:v>45838</x:v>
      </x:c>
      <x:c r="C186" s="2590" t="s">
        <x:v>131</x:v>
      </x:c>
      <x:c r="D186" s="2590" t="s">
        <x:v>848</x:v>
      </x:c>
      <x:c r="E186" s="2590" t="s">
        <x:v>849</x:v>
      </x:c>
      <x:c r="F186" s="2590" t="s">
        <x:v>535</x:v>
      </x:c>
      <x:c r="G186" s="2590" t="s">
        <x:v>62</x:v>
      </x:c>
      <x:c r="H186" s="2590" t="s">
        <x:v>782</x:v>
      </x:c>
      <x:c r="I186" s="2590" t="s">
        <x:v>783</x:v>
      </x:c>
      <x:c r="J186" s="2590" t="s">
        <x:v>784</x:v>
      </x:c>
      <x:c r="K186" s="2581" t="s">
        <x:v>656</x:v>
      </x:c>
      <x:c r="L186" s="2581" t="s">
        <x:v>788</x:v>
      </x:c>
      <x:c r="M186" s="2581" t="s">
        <x:v>789</x:v>
      </x:c>
      <x:c r="N186" s="2383">
        <x:v>197</x:v>
      </x:c>
      <x:c r="O186" s="2394"/>
      <x:c r="P186" s="2530">
        <x:v>4.8000000000000001E-2</x:v>
      </x:c>
      <x:c r="Q186" s="2590" t="s">
        <x:v>787</x:v>
      </x:c>
      <x:c r="R186" s="2581" t="s">
        <x:v>656</x:v>
      </x:c>
      <x:c r="S186" s="2590" t="s">
        <x:v>760</x:v>
      </x:c>
      <x:c r="T186" s="2590" t="s">
        <x:v>850</x:v>
      </x:c>
      <x:c r="U186" s="2590" t="s">
        <x:v>762</x:v>
      </x:c>
      <x:c r="V186" s="2581" t="s">
        <x:v>763</x:v>
      </x:c>
      <x:c r="W186" s="861"/>
      <x:c r="X186" s="1155"/>
    </x:row>
    <x:row r="187" ht="39" customHeight="1">
      <x:c r="A187" s="2801">
        <x:v>45748</x:v>
      </x:c>
      <x:c r="B187" s="2797">
        <x:v>45838</x:v>
      </x:c>
      <x:c r="C187" s="2590" t="s">
        <x:v>131</x:v>
      </x:c>
      <x:c r="D187" s="2590" t="s">
        <x:v>848</x:v>
      </x:c>
      <x:c r="E187" s="2590" t="s">
        <x:v>849</x:v>
      </x:c>
      <x:c r="F187" s="2590" t="s">
        <x:v>535</x:v>
      </x:c>
      <x:c r="G187" s="2590" t="s">
        <x:v>62</x:v>
      </x:c>
      <x:c r="H187" s="2590" t="s">
        <x:v>782</x:v>
      </x:c>
      <x:c r="I187" s="2590" t="s">
        <x:v>783</x:v>
      </x:c>
      <x:c r="J187" s="2590" t="s">
        <x:v>784</x:v>
      </x:c>
      <x:c r="K187" s="2581" t="s">
        <x:v>657</x:v>
      </x:c>
      <x:c r="L187" s="2581" t="s">
        <x:v>791</x:v>
      </x:c>
      <x:c r="M187" s="2581" t="s">
        <x:v>679</x:v>
      </x:c>
      <x:c r="N187" s="2383">
        <x:v>186</x:v>
      </x:c>
      <x:c r="O187" s="2394"/>
      <x:c r="P187" s="2530">
        <x:v>4.5999999999999999E-2</x:v>
      </x:c>
      <x:c r="Q187" s="2590" t="s">
        <x:v>787</x:v>
      </x:c>
      <x:c r="R187" s="2581" t="s">
        <x:v>657</x:v>
      </x:c>
      <x:c r="S187" s="2590" t="s">
        <x:v>760</x:v>
      </x:c>
      <x:c r="T187" s="2590" t="s">
        <x:v>850</x:v>
      </x:c>
      <x:c r="U187" s="2590" t="s">
        <x:v>762</x:v>
      </x:c>
      <x:c r="V187" s="2581" t="s">
        <x:v>763</x:v>
      </x:c>
      <x:c r="W187" s="861"/>
      <x:c r="X187" s="1155"/>
    </x:row>
    <x:row r="188" ht="39" customHeight="1">
      <x:c r="A188" s="2801">
        <x:v>45748</x:v>
      </x:c>
      <x:c r="B188" s="2797">
        <x:v>45838</x:v>
      </x:c>
      <x:c r="C188" s="2590" t="s">
        <x:v>131</x:v>
      </x:c>
      <x:c r="D188" s="2590" t="s">
        <x:v>848</x:v>
      </x:c>
      <x:c r="E188" s="2590" t="s">
        <x:v>849</x:v>
      </x:c>
      <x:c r="F188" s="2590" t="s">
        <x:v>535</x:v>
      </x:c>
      <x:c r="G188" s="2590" t="s">
        <x:v>62</x:v>
      </x:c>
      <x:c r="H188" s="2590" t="s">
        <x:v>782</x:v>
      </x:c>
      <x:c r="I188" s="2590" t="s">
        <x:v>783</x:v>
      </x:c>
      <x:c r="J188" s="2590" t="s">
        <x:v>784</x:v>
      </x:c>
      <x:c r="K188" s="2581" t="s">
        <x:v>658</x:v>
      </x:c>
      <x:c r="L188" s="2581" t="s">
        <x:v>788</x:v>
      </x:c>
      <x:c r="M188" s="2581" t="s">
        <x:v>800</x:v>
      </x:c>
      <x:c r="N188" s="2383">
        <x:v>165</x:v>
      </x:c>
      <x:c r="O188" s="2394"/>
      <x:c r="P188" s="2530">
        <x:v>0.04</x:v>
      </x:c>
      <x:c r="Q188" s="2590" t="s">
        <x:v>787</x:v>
      </x:c>
      <x:c r="R188" s="2581" t="s">
        <x:v>658</x:v>
      </x:c>
      <x:c r="S188" s="2590" t="s">
        <x:v>760</x:v>
      </x:c>
      <x:c r="T188" s="2590" t="s">
        <x:v>850</x:v>
      </x:c>
      <x:c r="U188" s="2590" t="s">
        <x:v>762</x:v>
      </x:c>
      <x:c r="V188" s="2581" t="s">
        <x:v>763</x:v>
      </x:c>
      <x:c r="W188" s="861"/>
      <x:c r="X188" s="1155"/>
    </x:row>
    <x:row r="189" ht="39" customHeight="1">
      <x:c r="A189" s="2801">
        <x:v>45748</x:v>
      </x:c>
      <x:c r="B189" s="2797">
        <x:v>45838</x:v>
      </x:c>
      <x:c r="C189" s="2590" t="s">
        <x:v>131</x:v>
      </x:c>
      <x:c r="D189" s="2590" t="s">
        <x:v>848</x:v>
      </x:c>
      <x:c r="E189" s="2590" t="s">
        <x:v>849</x:v>
      </x:c>
      <x:c r="F189" s="2590" t="s">
        <x:v>535</x:v>
      </x:c>
      <x:c r="G189" s="2590" t="s">
        <x:v>62</x:v>
      </x:c>
      <x:c r="H189" s="2590" t="s">
        <x:v>782</x:v>
      </x:c>
      <x:c r="I189" s="2590" t="s">
        <x:v>783</x:v>
      </x:c>
      <x:c r="J189" s="2590" t="s">
        <x:v>784</x:v>
      </x:c>
      <x:c r="K189" s="2581" t="s">
        <x:v>659</x:v>
      </x:c>
      <x:c r="L189" s="2581" t="s">
        <x:v>798</x:v>
      </x:c>
      <x:c r="M189" s="2581" t="s">
        <x:v>799</x:v>
      </x:c>
      <x:c r="N189" s="2383">
        <x:v>134</x:v>
      </x:c>
      <x:c r="O189" s="2394"/>
      <x:c r="P189" s="2530">
        <x:v>3.3000000000000002E-2</x:v>
      </x:c>
      <x:c r="Q189" s="2590" t="s">
        <x:v>787</x:v>
      </x:c>
      <x:c r="R189" s="2581" t="s">
        <x:v>659</x:v>
      </x:c>
      <x:c r="S189" s="2590" t="s">
        <x:v>760</x:v>
      </x:c>
      <x:c r="T189" s="2590" t="s">
        <x:v>850</x:v>
      </x:c>
      <x:c r="U189" s="2590" t="s">
        <x:v>762</x:v>
      </x:c>
      <x:c r="V189" s="2581" t="s">
        <x:v>763</x:v>
      </x:c>
      <x:c r="W189" s="861"/>
      <x:c r="X189" s="1155"/>
    </x:row>
    <x:row r="190" ht="39" customHeight="1">
      <x:c r="A190" s="2801">
        <x:v>45748</x:v>
      </x:c>
      <x:c r="B190" s="2797">
        <x:v>45838</x:v>
      </x:c>
      <x:c r="C190" s="2590" t="s">
        <x:v>131</x:v>
      </x:c>
      <x:c r="D190" s="2590" t="s">
        <x:v>848</x:v>
      </x:c>
      <x:c r="E190" s="2590" t="s">
        <x:v>849</x:v>
      </x:c>
      <x:c r="F190" s="2590" t="s">
        <x:v>535</x:v>
      </x:c>
      <x:c r="G190" s="2590" t="s">
        <x:v>62</x:v>
      </x:c>
      <x:c r="H190" s="2590" t="s">
        <x:v>782</x:v>
      </x:c>
      <x:c r="I190" s="2590" t="s">
        <x:v>783</x:v>
      </x:c>
      <x:c r="J190" s="2590" t="s">
        <x:v>784</x:v>
      </x:c>
      <x:c r="K190" s="2581" t="s">
        <x:v>660</x:v>
      </x:c>
      <x:c r="L190" s="2581" t="s">
        <x:v>793</x:v>
      </x:c>
      <x:c r="M190" s="2581" t="s">
        <x:v>794</x:v>
      </x:c>
      <x:c r="N190" s="2383">
        <x:v>128</x:v>
      </x:c>
      <x:c r="O190" s="2394"/>
      <x:c r="P190" s="2530">
        <x:v>3.1E-2</x:v>
      </x:c>
      <x:c r="Q190" s="2590" t="s">
        <x:v>787</x:v>
      </x:c>
      <x:c r="R190" s="2581" t="s">
        <x:v>660</x:v>
      </x:c>
      <x:c r="S190" s="2590" t="s">
        <x:v>760</x:v>
      </x:c>
      <x:c r="T190" s="2590" t="s">
        <x:v>850</x:v>
      </x:c>
      <x:c r="U190" s="2590" t="s">
        <x:v>762</x:v>
      </x:c>
      <x:c r="V190" s="2581" t="s">
        <x:v>763</x:v>
      </x:c>
      <x:c r="W190" s="861"/>
      <x:c r="X190" s="1155"/>
    </x:row>
    <x:row r="191" ht="39" customHeight="1">
      <x:c r="A191" s="2801">
        <x:v>45748</x:v>
      </x:c>
      <x:c r="B191" s="2797">
        <x:v>45838</x:v>
      </x:c>
      <x:c r="C191" s="2590" t="s">
        <x:v>131</x:v>
      </x:c>
      <x:c r="D191" s="2590" t="s">
        <x:v>848</x:v>
      </x:c>
      <x:c r="E191" s="2590" t="s">
        <x:v>849</x:v>
      </x:c>
      <x:c r="F191" s="2590" t="s">
        <x:v>535</x:v>
      </x:c>
      <x:c r="G191" s="2590" t="s">
        <x:v>62</x:v>
      </x:c>
      <x:c r="H191" s="2590" t="s">
        <x:v>782</x:v>
      </x:c>
      <x:c r="I191" s="2590" t="s">
        <x:v>783</x:v>
      </x:c>
      <x:c r="J191" s="2590" t="s">
        <x:v>784</x:v>
      </x:c>
      <x:c r="K191" s="2581" t="s">
        <x:v>661</x:v>
      </x:c>
      <x:c r="L191" s="2581" t="s">
        <x:v>795</x:v>
      </x:c>
      <x:c r="M191" s="2581" t="s">
        <x:v>797</x:v>
      </x:c>
      <x:c r="N191" s="2383">
        <x:v>123</x:v>
      </x:c>
      <x:c r="O191" s="2394"/>
      <x:c r="P191" s="2530">
        <x:v>0.03</x:v>
      </x:c>
      <x:c r="Q191" s="2590" t="s">
        <x:v>787</x:v>
      </x:c>
      <x:c r="R191" s="2581" t="s">
        <x:v>661</x:v>
      </x:c>
      <x:c r="S191" s="2590" t="s">
        <x:v>760</x:v>
      </x:c>
      <x:c r="T191" s="2590" t="s">
        <x:v>850</x:v>
      </x:c>
      <x:c r="U191" s="2590" t="s">
        <x:v>762</x:v>
      </x:c>
      <x:c r="V191" s="2581" t="s">
        <x:v>763</x:v>
      </x:c>
      <x:c r="W191" s="861"/>
      <x:c r="X191" s="1155"/>
    </x:row>
    <x:row r="192" ht="39" customHeight="1">
      <x:c r="A192" s="2801">
        <x:v>45748</x:v>
      </x:c>
      <x:c r="B192" s="2797">
        <x:v>45838</x:v>
      </x:c>
      <x:c r="C192" s="2590" t="s">
        <x:v>131</x:v>
      </x:c>
      <x:c r="D192" s="2590" t="s">
        <x:v>848</x:v>
      </x:c>
      <x:c r="E192" s="2590" t="s">
        <x:v>849</x:v>
      </x:c>
      <x:c r="F192" s="2590" t="s">
        <x:v>535</x:v>
      </x:c>
      <x:c r="G192" s="2590" t="s">
        <x:v>62</x:v>
      </x:c>
      <x:c r="H192" s="2590" t="s">
        <x:v>782</x:v>
      </x:c>
      <x:c r="I192" s="2590" t="s">
        <x:v>783</x:v>
      </x:c>
      <x:c r="J192" s="2590" t="s">
        <x:v>784</x:v>
      </x:c>
      <x:c r="K192" s="2581" t="s">
        <x:v>662</x:v>
      </x:c>
      <x:c r="L192" s="2581" t="s">
        <x:v>788</x:v>
      </x:c>
      <x:c r="M192" s="2581" t="s">
        <x:v>792</x:v>
      </x:c>
      <x:c r="N192" s="2383">
        <x:v>117</x:v>
      </x:c>
      <x:c r="O192" s="2394"/>
      <x:c r="P192" s="2530">
        <x:v>2.9000000000000001E-2</x:v>
      </x:c>
      <x:c r="Q192" s="2590" t="s">
        <x:v>787</x:v>
      </x:c>
      <x:c r="R192" s="2581" t="s">
        <x:v>662</x:v>
      </x:c>
      <x:c r="S192" s="2590" t="s">
        <x:v>760</x:v>
      </x:c>
      <x:c r="T192" s="2590" t="s">
        <x:v>850</x:v>
      </x:c>
      <x:c r="U192" s="2590" t="s">
        <x:v>762</x:v>
      </x:c>
      <x:c r="V192" s="2581" t="s">
        <x:v>763</x:v>
      </x:c>
      <x:c r="W192" s="861"/>
      <x:c r="X192" s="1155"/>
    </x:row>
    <x:row r="193" ht="39" customHeight="1">
      <x:c r="A193" s="2801">
        <x:v>45748</x:v>
      </x:c>
      <x:c r="B193" s="2797">
        <x:v>45838</x:v>
      </x:c>
      <x:c r="C193" s="2590" t="s">
        <x:v>131</x:v>
      </x:c>
      <x:c r="D193" s="2590" t="s">
        <x:v>848</x:v>
      </x:c>
      <x:c r="E193" s="2590" t="s">
        <x:v>849</x:v>
      </x:c>
      <x:c r="F193" s="2590" t="s">
        <x:v>535</x:v>
      </x:c>
      <x:c r="G193" s="2590" t="s">
        <x:v>62</x:v>
      </x:c>
      <x:c r="H193" s="2590" t="s">
        <x:v>782</x:v>
      </x:c>
      <x:c r="I193" s="2590" t="s">
        <x:v>783</x:v>
      </x:c>
      <x:c r="J193" s="2590" t="s">
        <x:v>784</x:v>
      </x:c>
      <x:c r="K193" s="2581" t="s">
        <x:v>663</x:v>
      </x:c>
      <x:c r="L193" s="2581" t="s">
        <x:v>795</x:v>
      </x:c>
      <x:c r="M193" s="2581" t="s">
        <x:v>804</x:v>
      </x:c>
      <x:c r="N193" s="2383">
        <x:v>105</x:v>
      </x:c>
      <x:c r="O193" s="2394"/>
      <x:c r="P193" s="2530">
        <x:v>2.5999999999999999E-2</x:v>
      </x:c>
      <x:c r="Q193" s="2590" t="s">
        <x:v>787</x:v>
      </x:c>
      <x:c r="R193" s="2581" t="s">
        <x:v>663</x:v>
      </x:c>
      <x:c r="S193" s="2590" t="s">
        <x:v>760</x:v>
      </x:c>
      <x:c r="T193" s="2590" t="s">
        <x:v>850</x:v>
      </x:c>
      <x:c r="U193" s="2590" t="s">
        <x:v>762</x:v>
      </x:c>
      <x:c r="V193" s="2581" t="s">
        <x:v>763</x:v>
      </x:c>
      <x:c r="W193" s="861"/>
      <x:c r="X193" s="1155"/>
    </x:row>
    <x:row r="194" ht="39" customHeight="1">
      <x:c r="A194" s="2801">
        <x:v>45748</x:v>
      </x:c>
      <x:c r="B194" s="2797">
        <x:v>45838</x:v>
      </x:c>
      <x:c r="C194" s="2590" t="s">
        <x:v>131</x:v>
      </x:c>
      <x:c r="D194" s="2590" t="s">
        <x:v>848</x:v>
      </x:c>
      <x:c r="E194" s="2590" t="s">
        <x:v>849</x:v>
      </x:c>
      <x:c r="F194" s="2590" t="s">
        <x:v>535</x:v>
      </x:c>
      <x:c r="G194" s="2590" t="s">
        <x:v>62</x:v>
      </x:c>
      <x:c r="H194" s="2590" t="s">
        <x:v>782</x:v>
      </x:c>
      <x:c r="I194" s="2590" t="s">
        <x:v>783</x:v>
      </x:c>
      <x:c r="J194" s="2590" t="s">
        <x:v>784</x:v>
      </x:c>
      <x:c r="K194" s="2581" t="s">
        <x:v>664</x:v>
      </x:c>
      <x:c r="L194" s="2581" t="s">
        <x:v>785</x:v>
      </x:c>
      <x:c r="M194" s="2581" t="s">
        <x:v>807</x:v>
      </x:c>
      <x:c r="N194" s="2383">
        <x:v>102</x:v>
      </x:c>
      <x:c r="O194" s="2394"/>
      <x:c r="P194" s="2530">
        <x:v>2.5000000000000001E-2</x:v>
      </x:c>
      <x:c r="Q194" s="2590" t="s">
        <x:v>787</x:v>
      </x:c>
      <x:c r="R194" s="2581" t="s">
        <x:v>664</x:v>
      </x:c>
      <x:c r="S194" s="2590" t="s">
        <x:v>760</x:v>
      </x:c>
      <x:c r="T194" s="2590" t="s">
        <x:v>850</x:v>
      </x:c>
      <x:c r="U194" s="2590" t="s">
        <x:v>762</x:v>
      </x:c>
      <x:c r="V194" s="2581" t="s">
        <x:v>763</x:v>
      </x:c>
      <x:c r="W194" s="861"/>
      <x:c r="X194" s="1155"/>
    </x:row>
    <x:row r="195" ht="39" customHeight="1">
      <x:c r="A195" s="2801">
        <x:v>45748</x:v>
      </x:c>
      <x:c r="B195" s="2797">
        <x:v>45838</x:v>
      </x:c>
      <x:c r="C195" s="2590" t="s">
        <x:v>131</x:v>
      </x:c>
      <x:c r="D195" s="2590" t="s">
        <x:v>848</x:v>
      </x:c>
      <x:c r="E195" s="2590" t="s">
        <x:v>849</x:v>
      </x:c>
      <x:c r="F195" s="2590" t="s">
        <x:v>535</x:v>
      </x:c>
      <x:c r="G195" s="2590" t="s">
        <x:v>62</x:v>
      </x:c>
      <x:c r="H195" s="2590" t="s">
        <x:v>782</x:v>
      </x:c>
      <x:c r="I195" s="2590" t="s">
        <x:v>783</x:v>
      </x:c>
      <x:c r="J195" s="2590" t="s">
        <x:v>784</x:v>
      </x:c>
      <x:c r="K195" s="2581" t="s">
        <x:v>665</x:v>
      </x:c>
      <x:c r="L195" s="2581" t="s">
        <x:v>785</x:v>
      </x:c>
      <x:c r="M195" s="2581" t="s">
        <x:v>801</x:v>
      </x:c>
      <x:c r="N195" s="2383">
        <x:v>96</x:v>
      </x:c>
      <x:c r="O195" s="2394"/>
      <x:c r="P195" s="2530">
        <x:v>2.4E-2</x:v>
      </x:c>
      <x:c r="Q195" s="2590" t="s">
        <x:v>787</x:v>
      </x:c>
      <x:c r="R195" s="2581" t="s">
        <x:v>665</x:v>
      </x:c>
      <x:c r="S195" s="2590" t="s">
        <x:v>760</x:v>
      </x:c>
      <x:c r="T195" s="2590" t="s">
        <x:v>850</x:v>
      </x:c>
      <x:c r="U195" s="2590" t="s">
        <x:v>762</x:v>
      </x:c>
      <x:c r="V195" s="2581" t="s">
        <x:v>763</x:v>
      </x:c>
      <x:c r="W195" s="861"/>
      <x:c r="X195" s="1155"/>
    </x:row>
    <x:row r="196" ht="39" customHeight="1">
      <x:c r="A196" s="2801">
        <x:v>45748</x:v>
      </x:c>
      <x:c r="B196" s="2797">
        <x:v>45838</x:v>
      </x:c>
      <x:c r="C196" s="2590" t="s">
        <x:v>131</x:v>
      </x:c>
      <x:c r="D196" s="2590" t="s">
        <x:v>848</x:v>
      </x:c>
      <x:c r="E196" s="2590" t="s">
        <x:v>849</x:v>
      </x:c>
      <x:c r="F196" s="2590" t="s">
        <x:v>535</x:v>
      </x:c>
      <x:c r="G196" s="2590" t="s">
        <x:v>62</x:v>
      </x:c>
      <x:c r="H196" s="2590" t="s">
        <x:v>782</x:v>
      </x:c>
      <x:c r="I196" s="2590" t="s">
        <x:v>783</x:v>
      </x:c>
      <x:c r="J196" s="2590" t="s">
        <x:v>784</x:v>
      </x:c>
      <x:c r="K196" s="2581" t="s">
        <x:v>666</x:v>
      </x:c>
      <x:c r="L196" s="2581" t="s">
        <x:v>802</x:v>
      </x:c>
      <x:c r="M196" s="2581" t="s">
        <x:v>803</x:v>
      </x:c>
      <x:c r="N196" s="2383">
        <x:v>95</x:v>
      </x:c>
      <x:c r="O196" s="2394"/>
      <x:c r="P196" s="2530">
        <x:v>2.3E-2</x:v>
      </x:c>
      <x:c r="Q196" s="2590" t="s">
        <x:v>787</x:v>
      </x:c>
      <x:c r="R196" s="2581" t="s">
        <x:v>666</x:v>
      </x:c>
      <x:c r="S196" s="2590" t="s">
        <x:v>760</x:v>
      </x:c>
      <x:c r="T196" s="2590" t="s">
        <x:v>850</x:v>
      </x:c>
      <x:c r="U196" s="2590" t="s">
        <x:v>762</x:v>
      </x:c>
      <x:c r="V196" s="2581" t="s">
        <x:v>763</x:v>
      </x:c>
      <x:c r="W196" s="861"/>
      <x:c r="X196" s="1155"/>
    </x:row>
    <x:row r="197" ht="39" customHeight="1">
      <x:c r="A197" s="2801">
        <x:v>45748</x:v>
      </x:c>
      <x:c r="B197" s="2797">
        <x:v>45838</x:v>
      </x:c>
      <x:c r="C197" s="2590" t="s">
        <x:v>131</x:v>
      </x:c>
      <x:c r="D197" s="2590" t="s">
        <x:v>848</x:v>
      </x:c>
      <x:c r="E197" s="2590" t="s">
        <x:v>849</x:v>
      </x:c>
      <x:c r="F197" s="2590" t="s">
        <x:v>535</x:v>
      </x:c>
      <x:c r="G197" s="2590" t="s">
        <x:v>62</x:v>
      </x:c>
      <x:c r="H197" s="2590" t="s">
        <x:v>782</x:v>
      </x:c>
      <x:c r="I197" s="2590" t="s">
        <x:v>783</x:v>
      </x:c>
      <x:c r="J197" s="2590" t="s">
        <x:v>784</x:v>
      </x:c>
      <x:c r="K197" s="2581" t="s">
        <x:v>667</x:v>
      </x:c>
      <x:c r="L197" s="2581" t="s">
        <x:v>795</x:v>
      </x:c>
      <x:c r="M197" s="2581" t="s">
        <x:v>796</x:v>
      </x:c>
      <x:c r="N197" s="2383">
        <x:v>95</x:v>
      </x:c>
      <x:c r="O197" s="2394"/>
      <x:c r="P197" s="2530">
        <x:v>2.3E-2</x:v>
      </x:c>
      <x:c r="Q197" s="2590" t="s">
        <x:v>787</x:v>
      </x:c>
      <x:c r="R197" s="2581" t="s">
        <x:v>667</x:v>
      </x:c>
      <x:c r="S197" s="2590" t="s">
        <x:v>760</x:v>
      </x:c>
      <x:c r="T197" s="2590" t="s">
        <x:v>850</x:v>
      </x:c>
      <x:c r="U197" s="2590" t="s">
        <x:v>762</x:v>
      </x:c>
      <x:c r="V197" s="2581" t="s">
        <x:v>763</x:v>
      </x:c>
      <x:c r="W197" s="861"/>
      <x:c r="X197" s="1155"/>
    </x:row>
    <x:row r="198" ht="39" customHeight="1">
      <x:c r="A198" s="2801">
        <x:v>45748</x:v>
      </x:c>
      <x:c r="B198" s="2797">
        <x:v>45838</x:v>
      </x:c>
      <x:c r="C198" s="2590" t="s">
        <x:v>131</x:v>
      </x:c>
      <x:c r="D198" s="2590" t="s">
        <x:v>848</x:v>
      </x:c>
      <x:c r="E198" s="2590" t="s">
        <x:v>849</x:v>
      </x:c>
      <x:c r="F198" s="2590" t="s">
        <x:v>535</x:v>
      </x:c>
      <x:c r="G198" s="2590" t="s">
        <x:v>62</x:v>
      </x:c>
      <x:c r="H198" s="2590" t="s">
        <x:v>782</x:v>
      </x:c>
      <x:c r="I198" s="2590" t="s">
        <x:v>783</x:v>
      </x:c>
      <x:c r="J198" s="2590" t="s">
        <x:v>784</x:v>
      </x:c>
      <x:c r="K198" s="2581" t="s">
        <x:v>668</x:v>
      </x:c>
      <x:c r="L198" s="2581" t="s">
        <x:v>785</x:v>
      </x:c>
      <x:c r="M198" s="2581" t="s">
        <x:v>810</x:v>
      </x:c>
      <x:c r="N198" s="2383">
        <x:v>87</x:v>
      </x:c>
      <x:c r="O198" s="2394"/>
      <x:c r="P198" s="2530">
        <x:v>2.1000000000000001E-2</x:v>
      </x:c>
      <x:c r="Q198" s="2590" t="s">
        <x:v>787</x:v>
      </x:c>
      <x:c r="R198" s="2581" t="s">
        <x:v>668</x:v>
      </x:c>
      <x:c r="S198" s="2590" t="s">
        <x:v>760</x:v>
      </x:c>
      <x:c r="T198" s="2590" t="s">
        <x:v>850</x:v>
      </x:c>
      <x:c r="U198" s="2590" t="s">
        <x:v>762</x:v>
      </x:c>
      <x:c r="V198" s="2581" t="s">
        <x:v>763</x:v>
      </x:c>
      <x:c r="W198" s="861"/>
      <x:c r="X198" s="1155"/>
    </x:row>
    <x:row r="199" ht="39" customHeight="1">
      <x:c r="A199" s="2801">
        <x:v>45748</x:v>
      </x:c>
      <x:c r="B199" s="2797">
        <x:v>45838</x:v>
      </x:c>
      <x:c r="C199" s="2590" t="s">
        <x:v>131</x:v>
      </x:c>
      <x:c r="D199" s="2590" t="s">
        <x:v>848</x:v>
      </x:c>
      <x:c r="E199" s="2590" t="s">
        <x:v>849</x:v>
      </x:c>
      <x:c r="F199" s="2590" t="s">
        <x:v>535</x:v>
      </x:c>
      <x:c r="G199" s="2590" t="s">
        <x:v>62</x:v>
      </x:c>
      <x:c r="H199" s="2590" t="s">
        <x:v>782</x:v>
      </x:c>
      <x:c r="I199" s="2590" t="s">
        <x:v>783</x:v>
      </x:c>
      <x:c r="J199" s="2590" t="s">
        <x:v>784</x:v>
      </x:c>
      <x:c r="K199" s="2581" t="s">
        <x:v>669</x:v>
      </x:c>
      <x:c r="L199" s="2581" t="s">
        <x:v>805</x:v>
      </x:c>
      <x:c r="M199" s="2581" t="s">
        <x:v>806</x:v>
      </x:c>
      <x:c r="N199" s="2383">
        <x:v>86</x:v>
      </x:c>
      <x:c r="O199" s="2394"/>
      <x:c r="P199" s="2530">
        <x:v>2.1000000000000001E-2</x:v>
      </x:c>
      <x:c r="Q199" s="2590" t="s">
        <x:v>787</x:v>
      </x:c>
      <x:c r="R199" s="2581" t="s">
        <x:v>669</x:v>
      </x:c>
      <x:c r="S199" s="2590" t="s">
        <x:v>760</x:v>
      </x:c>
      <x:c r="T199" s="2590" t="s">
        <x:v>850</x:v>
      </x:c>
      <x:c r="U199" s="2590" t="s">
        <x:v>762</x:v>
      </x:c>
      <x:c r="V199" s="2581" t="s">
        <x:v>763</x:v>
      </x:c>
      <x:c r="W199" s="861"/>
      <x:c r="X199" s="1155"/>
    </x:row>
    <x:row r="200" ht="39" customHeight="1">
      <x:c r="A200" s="2801">
        <x:v>45748</x:v>
      </x:c>
      <x:c r="B200" s="2797">
        <x:v>45838</x:v>
      </x:c>
      <x:c r="C200" s="2590" t="s">
        <x:v>131</x:v>
      </x:c>
      <x:c r="D200" s="2590" t="s">
        <x:v>848</x:v>
      </x:c>
      <x:c r="E200" s="2590" t="s">
        <x:v>849</x:v>
      </x:c>
      <x:c r="F200" s="2590" t="s">
        <x:v>535</x:v>
      </x:c>
      <x:c r="G200" s="2590" t="s">
        <x:v>62</x:v>
      </x:c>
      <x:c r="H200" s="2590" t="s">
        <x:v>782</x:v>
      </x:c>
      <x:c r="I200" s="2590" t="s">
        <x:v>783</x:v>
      </x:c>
      <x:c r="J200" s="2590" t="s">
        <x:v>784</x:v>
      </x:c>
      <x:c r="K200" s="2581" t="s">
        <x:v>670</x:v>
      </x:c>
      <x:c r="L200" s="2581" t="s">
        <x:v>802</x:v>
      </x:c>
      <x:c r="M200" s="2581" t="s">
        <x:v>577</x:v>
      </x:c>
      <x:c r="N200" s="2383">
        <x:v>79</x:v>
      </x:c>
      <x:c r="O200" s="2394"/>
      <x:c r="P200" s="2530">
        <x:v>1.9E-2</x:v>
      </x:c>
      <x:c r="Q200" s="2590" t="s">
        <x:v>787</x:v>
      </x:c>
      <x:c r="R200" s="2581" t="s">
        <x:v>670</x:v>
      </x:c>
      <x:c r="S200" s="2590" t="s">
        <x:v>760</x:v>
      </x:c>
      <x:c r="T200" s="2590" t="s">
        <x:v>850</x:v>
      </x:c>
      <x:c r="U200" s="2590" t="s">
        <x:v>762</x:v>
      </x:c>
      <x:c r="V200" s="2581" t="s">
        <x:v>763</x:v>
      </x:c>
      <x:c r="W200" s="861"/>
      <x:c r="X200" s="1155"/>
    </x:row>
    <x:row r="201" ht="39" customHeight="1">
      <x:c r="A201" s="2801">
        <x:v>45748</x:v>
      </x:c>
      <x:c r="B201" s="2797">
        <x:v>45838</x:v>
      </x:c>
      <x:c r="C201" s="2590" t="s">
        <x:v>131</x:v>
      </x:c>
      <x:c r="D201" s="2590" t="s">
        <x:v>848</x:v>
      </x:c>
      <x:c r="E201" s="2590" t="s">
        <x:v>849</x:v>
      </x:c>
      <x:c r="F201" s="2590" t="s">
        <x:v>535</x:v>
      </x:c>
      <x:c r="G201" s="2590" t="s">
        <x:v>62</x:v>
      </x:c>
      <x:c r="H201" s="2590" t="s">
        <x:v>782</x:v>
      </x:c>
      <x:c r="I201" s="2590" t="s">
        <x:v>783</x:v>
      </x:c>
      <x:c r="J201" s="2590" t="s">
        <x:v>784</x:v>
      </x:c>
      <x:c r="K201" s="2581" t="s">
        <x:v>671</x:v>
      </x:c>
      <x:c r="L201" s="2581" t="s">
        <x:v>809</x:v>
      </x:c>
      <x:c r="M201" s="2581" t="s">
        <x:v>701</x:v>
      </x:c>
      <x:c r="N201" s="2383">
        <x:v>75</x:v>
      </x:c>
      <x:c r="O201" s="2394"/>
      <x:c r="P201" s="2530">
        <x:v>1.7999999999999999E-2</x:v>
      </x:c>
      <x:c r="Q201" s="2590" t="s">
        <x:v>787</x:v>
      </x:c>
      <x:c r="R201" s="2581" t="s">
        <x:v>671</x:v>
      </x:c>
      <x:c r="S201" s="2590" t="s">
        <x:v>760</x:v>
      </x:c>
      <x:c r="T201" s="2590" t="s">
        <x:v>850</x:v>
      </x:c>
      <x:c r="U201" s="2590" t="s">
        <x:v>762</x:v>
      </x:c>
      <x:c r="V201" s="2581" t="s">
        <x:v>763</x:v>
      </x:c>
      <x:c r="W201" s="861"/>
      <x:c r="X201" s="1155"/>
    </x:row>
    <x:row r="202" ht="39" customHeight="1">
      <x:c r="A202" s="2801">
        <x:v>45748</x:v>
      </x:c>
      <x:c r="B202" s="2797">
        <x:v>45838</x:v>
      </x:c>
      <x:c r="C202" s="2590" t="s">
        <x:v>131</x:v>
      </x:c>
      <x:c r="D202" s="2590" t="s">
        <x:v>848</x:v>
      </x:c>
      <x:c r="E202" s="2590" t="s">
        <x:v>849</x:v>
      </x:c>
      <x:c r="F202" s="2590" t="s">
        <x:v>535</x:v>
      </x:c>
      <x:c r="G202" s="2590" t="s">
        <x:v>62</x:v>
      </x:c>
      <x:c r="H202" s="2590" t="s">
        <x:v>782</x:v>
      </x:c>
      <x:c r="I202" s="2590" t="s">
        <x:v>783</x:v>
      </x:c>
      <x:c r="J202" s="2590" t="s">
        <x:v>784</x:v>
      </x:c>
      <x:c r="K202" s="2581" t="s">
        <x:v>672</x:v>
      </x:c>
      <x:c r="L202" s="2581" t="s">
        <x:v>791</x:v>
      </x:c>
      <x:c r="M202" s="2581" t="s">
        <x:v>838</x:v>
      </x:c>
      <x:c r="N202" s="2383">
        <x:v>74</x:v>
      </x:c>
      <x:c r="O202" s="2394"/>
      <x:c r="P202" s="2530">
        <x:v>1.7999999999999999E-2</x:v>
      </x:c>
      <x:c r="Q202" s="2590" t="s">
        <x:v>787</x:v>
      </x:c>
      <x:c r="R202" s="2581" t="s">
        <x:v>672</x:v>
      </x:c>
      <x:c r="S202" s="2590" t="s">
        <x:v>760</x:v>
      </x:c>
      <x:c r="T202" s="2590" t="s">
        <x:v>850</x:v>
      </x:c>
      <x:c r="U202" s="2590" t="s">
        <x:v>762</x:v>
      </x:c>
      <x:c r="V202" s="2581" t="s">
        <x:v>763</x:v>
      </x:c>
      <x:c r="W202" s="861"/>
      <x:c r="X202" s="1155"/>
    </x:row>
    <x:row r="203" ht="39" customHeight="1">
      <x:c r="A203" s="2801">
        <x:v>45748</x:v>
      </x:c>
      <x:c r="B203" s="2797">
        <x:v>45838</x:v>
      </x:c>
      <x:c r="C203" s="2590" t="s">
        <x:v>131</x:v>
      </x:c>
      <x:c r="D203" s="2590" t="s">
        <x:v>848</x:v>
      </x:c>
      <x:c r="E203" s="2590" t="s">
        <x:v>849</x:v>
      </x:c>
      <x:c r="F203" s="2590" t="s">
        <x:v>535</x:v>
      </x:c>
      <x:c r="G203" s="2590" t="s">
        <x:v>62</x:v>
      </x:c>
      <x:c r="H203" s="2590" t="s">
        <x:v>782</x:v>
      </x:c>
      <x:c r="I203" s="2590" t="s">
        <x:v>783</x:v>
      </x:c>
      <x:c r="J203" s="2590" t="s">
        <x:v>784</x:v>
      </x:c>
      <x:c r="K203" s="2581" t="s">
        <x:v>673</x:v>
      </x:c>
      <x:c r="L203" s="2581" t="s">
        <x:v>823</x:v>
      </x:c>
      <x:c r="M203" s="2581" t="s">
        <x:v>851</x:v>
      </x:c>
      <x:c r="N203" s="2383">
        <x:v>73</x:v>
      </x:c>
      <x:c r="O203" s="2394"/>
      <x:c r="P203" s="2530">
        <x:v>1.7999999999999999E-2</x:v>
      </x:c>
      <x:c r="Q203" s="2590" t="s">
        <x:v>787</x:v>
      </x:c>
      <x:c r="R203" s="2581" t="s">
        <x:v>673</x:v>
      </x:c>
      <x:c r="S203" s="2590" t="s">
        <x:v>760</x:v>
      </x:c>
      <x:c r="T203" s="2590" t="s">
        <x:v>850</x:v>
      </x:c>
      <x:c r="U203" s="2590" t="s">
        <x:v>762</x:v>
      </x:c>
      <x:c r="V203" s="2581" t="s">
        <x:v>763</x:v>
      </x:c>
      <x:c r="W203" s="861"/>
      <x:c r="X203" s="1155"/>
    </x:row>
    <x:row r="204" ht="39" customHeight="1">
      <x:c r="A204" s="2801">
        <x:v>45748</x:v>
      </x:c>
      <x:c r="B204" s="2797">
        <x:v>45838</x:v>
      </x:c>
      <x:c r="C204" s="2590" t="s">
        <x:v>131</x:v>
      </x:c>
      <x:c r="D204" s="2590" t="s">
        <x:v>848</x:v>
      </x:c>
      <x:c r="E204" s="2590" t="s">
        <x:v>849</x:v>
      </x:c>
      <x:c r="F204" s="2590" t="s">
        <x:v>535</x:v>
      </x:c>
      <x:c r="G204" s="2590" t="s">
        <x:v>776</x:v>
      </x:c>
      <x:c r="H204" s="2590" t="s">
        <x:v>782</x:v>
      </x:c>
      <x:c r="I204" s="2590" t="s">
        <x:v>783</x:v>
      </x:c>
      <x:c r="J204" s="2590" t="s">
        <x:v>784</x:v>
      </x:c>
      <x:c r="K204" s="2581" t="s">
        <x:v>667</x:v>
      </x:c>
      <x:c r="L204" s="2581" t="s">
        <x:v>795</x:v>
      </x:c>
      <x:c r="M204" s="2581" t="s">
        <x:v>796</x:v>
      </x:c>
      <x:c r="N204" s="2383">
        <x:v>285</x:v>
      </x:c>
      <x:c r="O204" s="2394"/>
      <x:c r="P204" s="2530">
        <x:v>0.115</x:v>
      </x:c>
      <x:c r="Q204" s="2590" t="s">
        <x:v>787</x:v>
      </x:c>
      <x:c r="R204" s="2581" t="s">
        <x:v>667</x:v>
      </x:c>
      <x:c r="S204" s="2590" t="s">
        <x:v>760</x:v>
      </x:c>
      <x:c r="T204" s="2590" t="s">
        <x:v>850</x:v>
      </x:c>
      <x:c r="U204" s="2590" t="s">
        <x:v>762</x:v>
      </x:c>
      <x:c r="V204" s="2581" t="s">
        <x:v>763</x:v>
      </x:c>
      <x:c r="W204" s="861"/>
      <x:c r="X204" s="1155"/>
    </x:row>
    <x:row r="205" ht="39" customHeight="1">
      <x:c r="A205" s="2801">
        <x:v>45748</x:v>
      </x:c>
      <x:c r="B205" s="2797">
        <x:v>45838</x:v>
      </x:c>
      <x:c r="C205" s="2590" t="s">
        <x:v>131</x:v>
      </x:c>
      <x:c r="D205" s="2590" t="s">
        <x:v>848</x:v>
      </x:c>
      <x:c r="E205" s="2590" t="s">
        <x:v>849</x:v>
      </x:c>
      <x:c r="F205" s="2590" t="s">
        <x:v>535</x:v>
      </x:c>
      <x:c r="G205" s="2590" t="s">
        <x:v>776</x:v>
      </x:c>
      <x:c r="H205" s="2590" t="s">
        <x:v>782</x:v>
      </x:c>
      <x:c r="I205" s="2590" t="s">
        <x:v>783</x:v>
      </x:c>
      <x:c r="J205" s="2590" t="s">
        <x:v>784</x:v>
      </x:c>
      <x:c r="K205" s="2581" t="s">
        <x:v>671</x:v>
      </x:c>
      <x:c r="L205" s="2581" t="s">
        <x:v>809</x:v>
      </x:c>
      <x:c r="M205" s="2581" t="s">
        <x:v>701</x:v>
      </x:c>
      <x:c r="N205" s="2383">
        <x:v>240</x:v>
      </x:c>
      <x:c r="O205" s="2394"/>
      <x:c r="P205" s="2530">
        <x:v>9.7000000000000003E-2</x:v>
      </x:c>
      <x:c r="Q205" s="2590" t="s">
        <x:v>787</x:v>
      </x:c>
      <x:c r="R205" s="2581" t="s">
        <x:v>671</x:v>
      </x:c>
      <x:c r="S205" s="2590" t="s">
        <x:v>760</x:v>
      </x:c>
      <x:c r="T205" s="2590" t="s">
        <x:v>850</x:v>
      </x:c>
      <x:c r="U205" s="2590" t="s">
        <x:v>762</x:v>
      </x:c>
      <x:c r="V205" s="2581" t="s">
        <x:v>763</x:v>
      </x:c>
      <x:c r="W205" s="861"/>
      <x:c r="X205" s="1155"/>
    </x:row>
    <x:row r="206" ht="39" customHeight="1">
      <x:c r="A206" s="2801">
        <x:v>45748</x:v>
      </x:c>
      <x:c r="B206" s="2797">
        <x:v>45838</x:v>
      </x:c>
      <x:c r="C206" s="2590" t="s">
        <x:v>131</x:v>
      </x:c>
      <x:c r="D206" s="2590" t="s">
        <x:v>848</x:v>
      </x:c>
      <x:c r="E206" s="2590" t="s">
        <x:v>849</x:v>
      </x:c>
      <x:c r="F206" s="2590" t="s">
        <x:v>535</x:v>
      </x:c>
      <x:c r="G206" s="2590" t="s">
        <x:v>776</x:v>
      </x:c>
      <x:c r="H206" s="2590" t="s">
        <x:v>782</x:v>
      </x:c>
      <x:c r="I206" s="2590" t="s">
        <x:v>783</x:v>
      </x:c>
      <x:c r="J206" s="2590" t="s">
        <x:v>784</x:v>
      </x:c>
      <x:c r="K206" s="2581" t="s">
        <x:v>684</x:v>
      </x:c>
      <x:c r="L206" s="2581" t="s">
        <x:v>793</x:v>
      </x:c>
      <x:c r="M206" s="2581" t="s">
        <x:v>808</x:v>
      </x:c>
      <x:c r="N206" s="2383">
        <x:v>185</x:v>
      </x:c>
      <x:c r="O206" s="2394"/>
      <x:c r="P206" s="2530">
        <x:v>7.4999999999999997E-2</x:v>
      </x:c>
      <x:c r="Q206" s="2590" t="s">
        <x:v>787</x:v>
      </x:c>
      <x:c r="R206" s="2581" t="s">
        <x:v>684</x:v>
      </x:c>
      <x:c r="S206" s="2590" t="s">
        <x:v>760</x:v>
      </x:c>
      <x:c r="T206" s="2590" t="s">
        <x:v>850</x:v>
      </x:c>
      <x:c r="U206" s="2590" t="s">
        <x:v>762</x:v>
      </x:c>
      <x:c r="V206" s="2581" t="s">
        <x:v>763</x:v>
      </x:c>
      <x:c r="W206" s="861"/>
      <x:c r="X206" s="1155"/>
    </x:row>
    <x:row r="207" ht="39" customHeight="1">
      <x:c r="A207" s="2801">
        <x:v>45748</x:v>
      </x:c>
      <x:c r="B207" s="2797">
        <x:v>45838</x:v>
      </x:c>
      <x:c r="C207" s="2590" t="s">
        <x:v>131</x:v>
      </x:c>
      <x:c r="D207" s="2590" t="s">
        <x:v>848</x:v>
      </x:c>
      <x:c r="E207" s="2590" t="s">
        <x:v>849</x:v>
      </x:c>
      <x:c r="F207" s="2590" t="s">
        <x:v>535</x:v>
      </x:c>
      <x:c r="G207" s="2590" t="s">
        <x:v>776</x:v>
      </x:c>
      <x:c r="H207" s="2590" t="s">
        <x:v>782</x:v>
      </x:c>
      <x:c r="I207" s="2590" t="s">
        <x:v>783</x:v>
      </x:c>
      <x:c r="J207" s="2590" t="s">
        <x:v>784</x:v>
      </x:c>
      <x:c r="K207" s="2581" t="s">
        <x:v>685</x:v>
      </x:c>
      <x:c r="L207" s="2581" t="s">
        <x:v>793</x:v>
      </x:c>
      <x:c r="M207" s="2581" t="s">
        <x:v>703</x:v>
      </x:c>
      <x:c r="N207" s="2383">
        <x:v>136</x:v>
      </x:c>
      <x:c r="O207" s="2394"/>
      <x:c r="P207" s="2530">
        <x:v>5.5E-2</x:v>
      </x:c>
      <x:c r="Q207" s="2590" t="s">
        <x:v>787</x:v>
      </x:c>
      <x:c r="R207" s="2581" t="s">
        <x:v>685</x:v>
      </x:c>
      <x:c r="S207" s="2590" t="s">
        <x:v>760</x:v>
      </x:c>
      <x:c r="T207" s="2590" t="s">
        <x:v>850</x:v>
      </x:c>
      <x:c r="U207" s="2590" t="s">
        <x:v>762</x:v>
      </x:c>
      <x:c r="V207" s="2581" t="s">
        <x:v>763</x:v>
      </x:c>
      <x:c r="W207" s="861"/>
      <x:c r="X207" s="1155"/>
    </x:row>
    <x:row r="208" ht="39" customHeight="1">
      <x:c r="A208" s="2801">
        <x:v>45748</x:v>
      </x:c>
      <x:c r="B208" s="2797">
        <x:v>45838</x:v>
      </x:c>
      <x:c r="C208" s="2590" t="s">
        <x:v>131</x:v>
      </x:c>
      <x:c r="D208" s="2590" t="s">
        <x:v>848</x:v>
      </x:c>
      <x:c r="E208" s="2590" t="s">
        <x:v>849</x:v>
      </x:c>
      <x:c r="F208" s="2590" t="s">
        <x:v>535</x:v>
      </x:c>
      <x:c r="G208" s="2590" t="s">
        <x:v>776</x:v>
      </x:c>
      <x:c r="H208" s="2590" t="s">
        <x:v>782</x:v>
      </x:c>
      <x:c r="I208" s="2590" t="s">
        <x:v>783</x:v>
      </x:c>
      <x:c r="J208" s="2590" t="s">
        <x:v>784</x:v>
      </x:c>
      <x:c r="K208" s="2581" t="s">
        <x:v>686</x:v>
      </x:c>
      <x:c r="L208" s="2581" t="s">
        <x:v>809</x:v>
      </x:c>
      <x:c r="M208" s="2581" t="s">
        <x:v>704</x:v>
      </x:c>
      <x:c r="N208" s="2383">
        <x:v>123</x:v>
      </x:c>
      <x:c r="O208" s="2394"/>
      <x:c r="P208" s="2530">
        <x:v>0.05</x:v>
      </x:c>
      <x:c r="Q208" s="2590" t="s">
        <x:v>787</x:v>
      </x:c>
      <x:c r="R208" s="2581" t="s">
        <x:v>686</x:v>
      </x:c>
      <x:c r="S208" s="2590" t="s">
        <x:v>760</x:v>
      </x:c>
      <x:c r="T208" s="2590" t="s">
        <x:v>850</x:v>
      </x:c>
      <x:c r="U208" s="2590" t="s">
        <x:v>762</x:v>
      </x:c>
      <x:c r="V208" s="2581" t="s">
        <x:v>763</x:v>
      </x:c>
      <x:c r="W208" s="861"/>
      <x:c r="X208" s="1155"/>
    </x:row>
    <x:row r="209" ht="39" customHeight="1">
      <x:c r="A209" s="2801">
        <x:v>45748</x:v>
      </x:c>
      <x:c r="B209" s="2797">
        <x:v>45838</x:v>
      </x:c>
      <x:c r="C209" s="2590" t="s">
        <x:v>131</x:v>
      </x:c>
      <x:c r="D209" s="2590" t="s">
        <x:v>848</x:v>
      </x:c>
      <x:c r="E209" s="2590" t="s">
        <x:v>849</x:v>
      </x:c>
      <x:c r="F209" s="2590" t="s">
        <x:v>535</x:v>
      </x:c>
      <x:c r="G209" s="2590" t="s">
        <x:v>776</x:v>
      </x:c>
      <x:c r="H209" s="2590" t="s">
        <x:v>782</x:v>
      </x:c>
      <x:c r="I209" s="2590" t="s">
        <x:v>783</x:v>
      </x:c>
      <x:c r="J209" s="2590" t="s">
        <x:v>784</x:v>
      </x:c>
      <x:c r="K209" s="2581" t="s">
        <x:v>687</x:v>
      </x:c>
      <x:c r="L209" s="2581" t="s">
        <x:v>809</x:v>
      </x:c>
      <x:c r="M209" s="2581" t="s">
        <x:v>814</x:v>
      </x:c>
      <x:c r="N209" s="2383">
        <x:v>122</x:v>
      </x:c>
      <x:c r="O209" s="2394"/>
      <x:c r="P209" s="2530">
        <x:v>4.9000000000000002E-2</x:v>
      </x:c>
      <x:c r="Q209" s="2590" t="s">
        <x:v>787</x:v>
      </x:c>
      <x:c r="R209" s="2581" t="s">
        <x:v>687</x:v>
      </x:c>
      <x:c r="S209" s="2590" t="s">
        <x:v>760</x:v>
      </x:c>
      <x:c r="T209" s="2590" t="s">
        <x:v>850</x:v>
      </x:c>
      <x:c r="U209" s="2590" t="s">
        <x:v>762</x:v>
      </x:c>
      <x:c r="V209" s="2581" t="s">
        <x:v>763</x:v>
      </x:c>
      <x:c r="W209" s="861"/>
      <x:c r="X209" s="1155"/>
    </x:row>
    <x:row r="210" ht="39" customHeight="1">
      <x:c r="A210" s="2801">
        <x:v>45748</x:v>
      </x:c>
      <x:c r="B210" s="2797">
        <x:v>45838</x:v>
      </x:c>
      <x:c r="C210" s="2590" t="s">
        <x:v>131</x:v>
      </x:c>
      <x:c r="D210" s="2590" t="s">
        <x:v>848</x:v>
      </x:c>
      <x:c r="E210" s="2590" t="s">
        <x:v>849</x:v>
      </x:c>
      <x:c r="F210" s="2590" t="s">
        <x:v>535</x:v>
      </x:c>
      <x:c r="G210" s="2590" t="s">
        <x:v>776</x:v>
      </x:c>
      <x:c r="H210" s="2590" t="s">
        <x:v>782</x:v>
      </x:c>
      <x:c r="I210" s="2590" t="s">
        <x:v>783</x:v>
      </x:c>
      <x:c r="J210" s="2590" t="s">
        <x:v>784</x:v>
      </x:c>
      <x:c r="K210" s="2581" t="s">
        <x:v>688</x:v>
      </x:c>
      <x:c r="L210" s="2581" t="s">
        <x:v>793</x:v>
      </x:c>
      <x:c r="M210" s="2581" t="s">
        <x:v>816</x:v>
      </x:c>
      <x:c r="N210" s="2383">
        <x:v>110</x:v>
      </x:c>
      <x:c r="O210" s="2394"/>
      <x:c r="P210" s="2530">
        <x:v>4.4999999999999998E-2</x:v>
      </x:c>
      <x:c r="Q210" s="2590" t="s">
        <x:v>787</x:v>
      </x:c>
      <x:c r="R210" s="2581" t="s">
        <x:v>688</x:v>
      </x:c>
      <x:c r="S210" s="2590" t="s">
        <x:v>760</x:v>
      </x:c>
      <x:c r="T210" s="2590" t="s">
        <x:v>850</x:v>
      </x:c>
      <x:c r="U210" s="2590" t="s">
        <x:v>762</x:v>
      </x:c>
      <x:c r="V210" s="2581" t="s">
        <x:v>763</x:v>
      </x:c>
      <x:c r="W210" s="861"/>
      <x:c r="X210" s="1155"/>
    </x:row>
    <x:row r="211" ht="39" customHeight="1">
      <x:c r="A211" s="2801">
        <x:v>45748</x:v>
      </x:c>
      <x:c r="B211" s="2797">
        <x:v>45838</x:v>
      </x:c>
      <x:c r="C211" s="2590" t="s">
        <x:v>131</x:v>
      </x:c>
      <x:c r="D211" s="2590" t="s">
        <x:v>848</x:v>
      </x:c>
      <x:c r="E211" s="2590" t="s">
        <x:v>849</x:v>
      </x:c>
      <x:c r="F211" s="2590" t="s">
        <x:v>535</x:v>
      </x:c>
      <x:c r="G211" s="2590" t="s">
        <x:v>776</x:v>
      </x:c>
      <x:c r="H211" s="2590" t="s">
        <x:v>782</x:v>
      </x:c>
      <x:c r="I211" s="2590" t="s">
        <x:v>783</x:v>
      </x:c>
      <x:c r="J211" s="2590" t="s">
        <x:v>784</x:v>
      </x:c>
      <x:c r="K211" s="2581" t="s">
        <x:v>689</x:v>
      </x:c>
      <x:c r="L211" s="2581" t="s">
        <x:v>809</x:v>
      </x:c>
      <x:c r="M211" s="2581" t="s">
        <x:v>813</x:v>
      </x:c>
      <x:c r="N211" s="2383">
        <x:v>106</x:v>
      </x:c>
      <x:c r="O211" s="2394"/>
      <x:c r="P211" s="2530">
        <x:v>4.2999999999999997E-2</x:v>
      </x:c>
      <x:c r="Q211" s="2590" t="s">
        <x:v>787</x:v>
      </x:c>
      <x:c r="R211" s="2581" t="s">
        <x:v>689</x:v>
      </x:c>
      <x:c r="S211" s="2590" t="s">
        <x:v>760</x:v>
      </x:c>
      <x:c r="T211" s="2590" t="s">
        <x:v>850</x:v>
      </x:c>
      <x:c r="U211" s="2590" t="s">
        <x:v>762</x:v>
      </x:c>
      <x:c r="V211" s="2581" t="s">
        <x:v>763</x:v>
      </x:c>
      <x:c r="W211" s="861"/>
      <x:c r="X211" s="1155"/>
    </x:row>
    <x:row r="212" ht="39" customHeight="1">
      <x:c r="A212" s="2801">
        <x:v>45748</x:v>
      </x:c>
      <x:c r="B212" s="2797">
        <x:v>45838</x:v>
      </x:c>
      <x:c r="C212" s="2590" t="s">
        <x:v>131</x:v>
      </x:c>
      <x:c r="D212" s="2590" t="s">
        <x:v>848</x:v>
      </x:c>
      <x:c r="E212" s="2590" t="s">
        <x:v>849</x:v>
      </x:c>
      <x:c r="F212" s="2590" t="s">
        <x:v>535</x:v>
      </x:c>
      <x:c r="G212" s="2590" t="s">
        <x:v>776</x:v>
      </x:c>
      <x:c r="H212" s="2590" t="s">
        <x:v>782</x:v>
      </x:c>
      <x:c r="I212" s="2590" t="s">
        <x:v>783</x:v>
      </x:c>
      <x:c r="J212" s="2590" t="s">
        <x:v>784</x:v>
      </x:c>
      <x:c r="K212" s="2581" t="s">
        <x:v>690</x:v>
      </x:c>
      <x:c r="L212" s="2581" t="s">
        <x:v>809</x:v>
      </x:c>
      <x:c r="M212" s="2581" t="s">
        <x:v>815</x:v>
      </x:c>
      <x:c r="N212" s="2383">
        <x:v>97</x:v>
      </x:c>
      <x:c r="O212" s="2394"/>
      <x:c r="P212" s="2530">
        <x:v>3.9E-2</x:v>
      </x:c>
      <x:c r="Q212" s="2590" t="s">
        <x:v>787</x:v>
      </x:c>
      <x:c r="R212" s="2581" t="s">
        <x:v>690</x:v>
      </x:c>
      <x:c r="S212" s="2590" t="s">
        <x:v>760</x:v>
      </x:c>
      <x:c r="T212" s="2590" t="s">
        <x:v>850</x:v>
      </x:c>
      <x:c r="U212" s="2590" t="s">
        <x:v>762</x:v>
      </x:c>
      <x:c r="V212" s="2581" t="s">
        <x:v>763</x:v>
      </x:c>
      <x:c r="W212" s="861"/>
      <x:c r="X212" s="1155"/>
    </x:row>
    <x:row r="213" ht="39" customHeight="1">
      <x:c r="A213" s="2801">
        <x:v>45748</x:v>
      </x:c>
      <x:c r="B213" s="2797">
        <x:v>45838</x:v>
      </x:c>
      <x:c r="C213" s="2590" t="s">
        <x:v>131</x:v>
      </x:c>
      <x:c r="D213" s="2590" t="s">
        <x:v>848</x:v>
      </x:c>
      <x:c r="E213" s="2590" t="s">
        <x:v>849</x:v>
      </x:c>
      <x:c r="F213" s="2590" t="s">
        <x:v>535</x:v>
      </x:c>
      <x:c r="G213" s="2590" t="s">
        <x:v>776</x:v>
      </x:c>
      <x:c r="H213" s="2590" t="s">
        <x:v>782</x:v>
      </x:c>
      <x:c r="I213" s="2590" t="s">
        <x:v>783</x:v>
      </x:c>
      <x:c r="J213" s="2590" t="s">
        <x:v>784</x:v>
      </x:c>
      <x:c r="K213" s="2581" t="s">
        <x:v>691</x:v>
      </x:c>
      <x:c r="L213" s="2581" t="s">
        <x:v>819</x:v>
      </x:c>
      <x:c r="M213" s="2581" t="s">
        <x:v>820</x:v>
      </x:c>
      <x:c r="N213" s="2383">
        <x:v>93</x:v>
      </x:c>
      <x:c r="O213" s="2394"/>
      <x:c r="P213" s="2530">
        <x:v>3.7999999999999999E-2</x:v>
      </x:c>
      <x:c r="Q213" s="2590" t="s">
        <x:v>787</x:v>
      </x:c>
      <x:c r="R213" s="2581" t="s">
        <x:v>691</x:v>
      </x:c>
      <x:c r="S213" s="2590" t="s">
        <x:v>760</x:v>
      </x:c>
      <x:c r="T213" s="2590" t="s">
        <x:v>850</x:v>
      </x:c>
      <x:c r="U213" s="2590" t="s">
        <x:v>762</x:v>
      </x:c>
      <x:c r="V213" s="2581" t="s">
        <x:v>763</x:v>
      </x:c>
      <x:c r="W213" s="861"/>
      <x:c r="X213" s="1155"/>
    </x:row>
    <x:row r="214" ht="39" customHeight="1">
      <x:c r="A214" s="2801">
        <x:v>45748</x:v>
      </x:c>
      <x:c r="B214" s="2797">
        <x:v>45838</x:v>
      </x:c>
      <x:c r="C214" s="2590" t="s">
        <x:v>131</x:v>
      </x:c>
      <x:c r="D214" s="2590" t="s">
        <x:v>848</x:v>
      </x:c>
      <x:c r="E214" s="2590" t="s">
        <x:v>849</x:v>
      </x:c>
      <x:c r="F214" s="2590" t="s">
        <x:v>535</x:v>
      </x:c>
      <x:c r="G214" s="2590" t="s">
        <x:v>776</x:v>
      </x:c>
      <x:c r="H214" s="2590" t="s">
        <x:v>782</x:v>
      </x:c>
      <x:c r="I214" s="2590" t="s">
        <x:v>783</x:v>
      </x:c>
      <x:c r="J214" s="2590" t="s">
        <x:v>784</x:v>
      </x:c>
      <x:c r="K214" s="2581" t="s">
        <x:v>692</x:v>
      </x:c>
      <x:c r="L214" s="2581" t="s">
        <x:v>821</x:v>
      </x:c>
      <x:c r="M214" s="2581" t="s">
        <x:v>822</x:v>
      </x:c>
      <x:c r="N214" s="2383">
        <x:v>89</x:v>
      </x:c>
      <x:c r="O214" s="2394"/>
      <x:c r="P214" s="2530">
        <x:v>3.5999999999999997E-2</x:v>
      </x:c>
      <x:c r="Q214" s="2590" t="s">
        <x:v>787</x:v>
      </x:c>
      <x:c r="R214" s="2581" t="s">
        <x:v>692</x:v>
      </x:c>
      <x:c r="S214" s="2590" t="s">
        <x:v>760</x:v>
      </x:c>
      <x:c r="T214" s="2590" t="s">
        <x:v>850</x:v>
      </x:c>
      <x:c r="U214" s="2590" t="s">
        <x:v>762</x:v>
      </x:c>
      <x:c r="V214" s="2581" t="s">
        <x:v>763</x:v>
      </x:c>
      <x:c r="W214" s="861"/>
      <x:c r="X214" s="1155"/>
    </x:row>
    <x:row r="215" ht="39" customHeight="1">
      <x:c r="A215" s="2801">
        <x:v>45748</x:v>
      </x:c>
      <x:c r="B215" s="2797">
        <x:v>45838</x:v>
      </x:c>
      <x:c r="C215" s="2590" t="s">
        <x:v>131</x:v>
      </x:c>
      <x:c r="D215" s="2590" t="s">
        <x:v>848</x:v>
      </x:c>
      <x:c r="E215" s="2590" t="s">
        <x:v>849</x:v>
      </x:c>
      <x:c r="F215" s="2590" t="s">
        <x:v>535</x:v>
      </x:c>
      <x:c r="G215" s="2590" t="s">
        <x:v>776</x:v>
      </x:c>
      <x:c r="H215" s="2590" t="s">
        <x:v>782</x:v>
      </x:c>
      <x:c r="I215" s="2590" t="s">
        <x:v>783</x:v>
      </x:c>
      <x:c r="J215" s="2590" t="s">
        <x:v>784</x:v>
      </x:c>
      <x:c r="K215" s="2581" t="s">
        <x:v>693</x:v>
      </x:c>
      <x:c r="L215" s="2581" t="s">
        <x:v>823</x:v>
      </x:c>
      <x:c r="M215" s="2581" t="s">
        <x:v>824</x:v>
      </x:c>
      <x:c r="N215" s="2383">
        <x:v>76</x:v>
      </x:c>
      <x:c r="O215" s="2394"/>
      <x:c r="P215" s="2530">
        <x:v>3.1E-2</x:v>
      </x:c>
      <x:c r="Q215" s="2590" t="s">
        <x:v>787</x:v>
      </x:c>
      <x:c r="R215" s="2581" t="s">
        <x:v>693</x:v>
      </x:c>
      <x:c r="S215" s="2590" t="s">
        <x:v>760</x:v>
      </x:c>
      <x:c r="T215" s="2590" t="s">
        <x:v>850</x:v>
      </x:c>
      <x:c r="U215" s="2590" t="s">
        <x:v>762</x:v>
      </x:c>
      <x:c r="V215" s="2581" t="s">
        <x:v>763</x:v>
      </x:c>
      <x:c r="W215" s="861"/>
      <x:c r="X215" s="1155"/>
    </x:row>
    <x:row r="216" ht="39" customHeight="1">
      <x:c r="A216" s="2801">
        <x:v>45748</x:v>
      </x:c>
      <x:c r="B216" s="2797">
        <x:v>45838</x:v>
      </x:c>
      <x:c r="C216" s="2590" t="s">
        <x:v>131</x:v>
      </x:c>
      <x:c r="D216" s="2590" t="s">
        <x:v>848</x:v>
      </x:c>
      <x:c r="E216" s="2590" t="s">
        <x:v>849</x:v>
      </x:c>
      <x:c r="F216" s="2590" t="s">
        <x:v>535</x:v>
      </x:c>
      <x:c r="G216" s="2590" t="s">
        <x:v>776</x:v>
      </x:c>
      <x:c r="H216" s="2590" t="s">
        <x:v>782</x:v>
      </x:c>
      <x:c r="I216" s="2590" t="s">
        <x:v>783</x:v>
      </x:c>
      <x:c r="J216" s="2590" t="s">
        <x:v>784</x:v>
      </x:c>
      <x:c r="K216" s="2581" t="s">
        <x:v>658</x:v>
      </x:c>
      <x:c r="L216" s="2581" t="s">
        <x:v>788</x:v>
      </x:c>
      <x:c r="M216" s="2581" t="s">
        <x:v>800</x:v>
      </x:c>
      <x:c r="N216" s="2383">
        <x:v>71</x:v>
      </x:c>
      <x:c r="O216" s="2394"/>
      <x:c r="P216" s="2530">
        <x:v>2.9000000000000001E-2</x:v>
      </x:c>
      <x:c r="Q216" s="2590" t="s">
        <x:v>787</x:v>
      </x:c>
      <x:c r="R216" s="2581" t="s">
        <x:v>658</x:v>
      </x:c>
      <x:c r="S216" s="2590" t="s">
        <x:v>760</x:v>
      </x:c>
      <x:c r="T216" s="2590" t="s">
        <x:v>850</x:v>
      </x:c>
      <x:c r="U216" s="2590" t="s">
        <x:v>762</x:v>
      </x:c>
      <x:c r="V216" s="2581" t="s">
        <x:v>763</x:v>
      </x:c>
      <x:c r="W216" s="861"/>
      <x:c r="X216" s="1155"/>
    </x:row>
    <x:row r="217" ht="39" customHeight="1">
      <x:c r="A217" s="2801">
        <x:v>45748</x:v>
      </x:c>
      <x:c r="B217" s="2797">
        <x:v>45838</x:v>
      </x:c>
      <x:c r="C217" s="2590" t="s">
        <x:v>131</x:v>
      </x:c>
      <x:c r="D217" s="2590" t="s">
        <x:v>848</x:v>
      </x:c>
      <x:c r="E217" s="2590" t="s">
        <x:v>849</x:v>
      </x:c>
      <x:c r="F217" s="2590" t="s">
        <x:v>535</x:v>
      </x:c>
      <x:c r="G217" s="2590" t="s">
        <x:v>776</x:v>
      </x:c>
      <x:c r="H217" s="2590" t="s">
        <x:v>782</x:v>
      </x:c>
      <x:c r="I217" s="2590" t="s">
        <x:v>783</x:v>
      </x:c>
      <x:c r="J217" s="2590" t="s">
        <x:v>784</x:v>
      </x:c>
      <x:c r="K217" s="2581" t="s">
        <x:v>694</x:v>
      </x:c>
      <x:c r="L217" s="2581" t="s">
        <x:v>817</x:v>
      </x:c>
      <x:c r="M217" s="2581" t="s">
        <x:v>818</x:v>
      </x:c>
      <x:c r="N217" s="2383">
        <x:v>66</x:v>
      </x:c>
      <x:c r="O217" s="2394"/>
      <x:c r="P217" s="2530">
        <x:v>2.7E-2</x:v>
      </x:c>
      <x:c r="Q217" s="2590" t="s">
        <x:v>787</x:v>
      </x:c>
      <x:c r="R217" s="2581" t="s">
        <x:v>694</x:v>
      </x:c>
      <x:c r="S217" s="2590" t="s">
        <x:v>760</x:v>
      </x:c>
      <x:c r="T217" s="2590" t="s">
        <x:v>850</x:v>
      </x:c>
      <x:c r="U217" s="2590" t="s">
        <x:v>762</x:v>
      </x:c>
      <x:c r="V217" s="2581" t="s">
        <x:v>763</x:v>
      </x:c>
      <x:c r="W217" s="861"/>
      <x:c r="X217" s="1155"/>
    </x:row>
    <x:row r="218" ht="39" customHeight="1">
      <x:c r="A218" s="2801">
        <x:v>45748</x:v>
      </x:c>
      <x:c r="B218" s="2797">
        <x:v>45838</x:v>
      </x:c>
      <x:c r="C218" s="2590" t="s">
        <x:v>131</x:v>
      </x:c>
      <x:c r="D218" s="2590" t="s">
        <x:v>848</x:v>
      </x:c>
      <x:c r="E218" s="2590" t="s">
        <x:v>849</x:v>
      </x:c>
      <x:c r="F218" s="2590" t="s">
        <x:v>535</x:v>
      </x:c>
      <x:c r="G218" s="2590" t="s">
        <x:v>776</x:v>
      </x:c>
      <x:c r="H218" s="2590" t="s">
        <x:v>782</x:v>
      </x:c>
      <x:c r="I218" s="2590" t="s">
        <x:v>783</x:v>
      </x:c>
      <x:c r="J218" s="2590" t="s">
        <x:v>784</x:v>
      </x:c>
      <x:c r="K218" s="2581" t="s">
        <x:v>663</x:v>
      </x:c>
      <x:c r="L218" s="2581" t="s">
        <x:v>795</x:v>
      </x:c>
      <x:c r="M218" s="2581" t="s">
        <x:v>804</x:v>
      </x:c>
      <x:c r="N218" s="2383">
        <x:v>60</x:v>
      </x:c>
      <x:c r="O218" s="2394"/>
      <x:c r="P218" s="2530">
        <x:v>2.4E-2</x:v>
      </x:c>
      <x:c r="Q218" s="2590" t="s">
        <x:v>787</x:v>
      </x:c>
      <x:c r="R218" s="2581" t="s">
        <x:v>663</x:v>
      </x:c>
      <x:c r="S218" s="2590" t="s">
        <x:v>760</x:v>
      </x:c>
      <x:c r="T218" s="2590" t="s">
        <x:v>850</x:v>
      </x:c>
      <x:c r="U218" s="2590" t="s">
        <x:v>762</x:v>
      </x:c>
      <x:c r="V218" s="2581" t="s">
        <x:v>763</x:v>
      </x:c>
      <x:c r="W218" s="861"/>
      <x:c r="X218" s="1155"/>
    </x:row>
    <x:row r="219" ht="39" customHeight="1">
      <x:c r="A219" s="2801">
        <x:v>45748</x:v>
      </x:c>
      <x:c r="B219" s="2797">
        <x:v>45838</x:v>
      </x:c>
      <x:c r="C219" s="2590" t="s">
        <x:v>131</x:v>
      </x:c>
      <x:c r="D219" s="2590" t="s">
        <x:v>848</x:v>
      </x:c>
      <x:c r="E219" s="2590" t="s">
        <x:v>849</x:v>
      </x:c>
      <x:c r="F219" s="2590" t="s">
        <x:v>535</x:v>
      </x:c>
      <x:c r="G219" s="2590" t="s">
        <x:v>776</x:v>
      </x:c>
      <x:c r="H219" s="2590" t="s">
        <x:v>782</x:v>
      </x:c>
      <x:c r="I219" s="2590" t="s">
        <x:v>783</x:v>
      </x:c>
      <x:c r="J219" s="2590" t="s">
        <x:v>784</x:v>
      </x:c>
      <x:c r="K219" s="2581" t="s">
        <x:v>662</x:v>
      </x:c>
      <x:c r="L219" s="2581" t="s">
        <x:v>788</x:v>
      </x:c>
      <x:c r="M219" s="2581" t="s">
        <x:v>792</x:v>
      </x:c>
      <x:c r="N219" s="2383">
        <x:v>58</x:v>
      </x:c>
      <x:c r="O219" s="2394"/>
      <x:c r="P219" s="2530">
        <x:v>2.3E-2</x:v>
      </x:c>
      <x:c r="Q219" s="2590" t="s">
        <x:v>787</x:v>
      </x:c>
      <x:c r="R219" s="2581" t="s">
        <x:v>662</x:v>
      </x:c>
      <x:c r="S219" s="2590" t="s">
        <x:v>760</x:v>
      </x:c>
      <x:c r="T219" s="2590" t="s">
        <x:v>850</x:v>
      </x:c>
      <x:c r="U219" s="2590" t="s">
        <x:v>762</x:v>
      </x:c>
      <x:c r="V219" s="2581" t="s">
        <x:v>763</x:v>
      </x:c>
      <x:c r="W219" s="861"/>
      <x:c r="X219" s="1155"/>
    </x:row>
    <x:row r="220" ht="39" customHeight="1">
      <x:c r="A220" s="2801">
        <x:v>45748</x:v>
      </x:c>
      <x:c r="B220" s="2797">
        <x:v>45838</x:v>
      </x:c>
      <x:c r="C220" s="2590" t="s">
        <x:v>131</x:v>
      </x:c>
      <x:c r="D220" s="2590" t="s">
        <x:v>848</x:v>
      </x:c>
      <x:c r="E220" s="2590" t="s">
        <x:v>849</x:v>
      </x:c>
      <x:c r="F220" s="2590" t="s">
        <x:v>535</x:v>
      </x:c>
      <x:c r="G220" s="2590" t="s">
        <x:v>776</x:v>
      </x:c>
      <x:c r="H220" s="2590" t="s">
        <x:v>782</x:v>
      </x:c>
      <x:c r="I220" s="2590" t="s">
        <x:v>783</x:v>
      </x:c>
      <x:c r="J220" s="2590" t="s">
        <x:v>784</x:v>
      </x:c>
      <x:c r="K220" s="2581" t="s">
        <x:v>695</x:v>
      </x:c>
      <x:c r="L220" s="2581" t="s">
        <x:v>823</x:v>
      </x:c>
      <x:c r="M220" s="2581" t="s">
        <x:v>839</x:v>
      </x:c>
      <x:c r="N220" s="2383">
        <x:v>49</x:v>
      </x:c>
      <x:c r="O220" s="2394"/>
      <x:c r="P220" s="2530">
        <x:v>0.02</x:v>
      </x:c>
      <x:c r="Q220" s="2590" t="s">
        <x:v>787</x:v>
      </x:c>
      <x:c r="R220" s="2581" t="s">
        <x:v>695</x:v>
      </x:c>
      <x:c r="S220" s="2590" t="s">
        <x:v>760</x:v>
      </x:c>
      <x:c r="T220" s="2590" t="s">
        <x:v>850</x:v>
      </x:c>
      <x:c r="U220" s="2590" t="s">
        <x:v>762</x:v>
      </x:c>
      <x:c r="V220" s="2581" t="s">
        <x:v>763</x:v>
      </x:c>
      <x:c r="W220" s="861"/>
      <x:c r="X220" s="1155"/>
    </x:row>
    <x:row r="221" ht="39" customHeight="1">
      <x:c r="A221" s="2801">
        <x:v>45748</x:v>
      </x:c>
      <x:c r="B221" s="2797">
        <x:v>45838</x:v>
      </x:c>
      <x:c r="C221" s="2590" t="s">
        <x:v>131</x:v>
      </x:c>
      <x:c r="D221" s="2590" t="s">
        <x:v>848</x:v>
      </x:c>
      <x:c r="E221" s="2590" t="s">
        <x:v>849</x:v>
      </x:c>
      <x:c r="F221" s="2590" t="s">
        <x:v>535</x:v>
      </x:c>
      <x:c r="G221" s="2590" t="s">
        <x:v>776</x:v>
      </x:c>
      <x:c r="H221" s="2590" t="s">
        <x:v>782</x:v>
      </x:c>
      <x:c r="I221" s="2590" t="s">
        <x:v>783</x:v>
      </x:c>
      <x:c r="J221" s="2590" t="s">
        <x:v>784</x:v>
      </x:c>
      <x:c r="K221" s="2581" t="s">
        <x:v>696</x:v>
      </x:c>
      <x:c r="L221" s="2581" t="s">
        <x:v>819</x:v>
      </x:c>
      <x:c r="M221" s="2581" t="s">
        <x:v>825</x:v>
      </x:c>
      <x:c r="N221" s="2383">
        <x:v>46</x:v>
      </x:c>
      <x:c r="O221" s="2394"/>
      <x:c r="P221" s="2530">
        <x:v>1.9E-2</x:v>
      </x:c>
      <x:c r="Q221" s="2590" t="s">
        <x:v>787</x:v>
      </x:c>
      <x:c r="R221" s="2581" t="s">
        <x:v>696</x:v>
      </x:c>
      <x:c r="S221" s="2590" t="s">
        <x:v>760</x:v>
      </x:c>
      <x:c r="T221" s="2590" t="s">
        <x:v>850</x:v>
      </x:c>
      <x:c r="U221" s="2590" t="s">
        <x:v>762</x:v>
      </x:c>
      <x:c r="V221" s="2581" t="s">
        <x:v>763</x:v>
      </x:c>
      <x:c r="W221" s="861"/>
      <x:c r="X221" s="1155"/>
    </x:row>
    <x:row r="222" ht="39" customHeight="1">
      <x:c r="A222" s="2801">
        <x:v>45748</x:v>
      </x:c>
      <x:c r="B222" s="2797">
        <x:v>45838</x:v>
      </x:c>
      <x:c r="C222" s="2590" t="s">
        <x:v>131</x:v>
      </x:c>
      <x:c r="D222" s="2590" t="s">
        <x:v>848</x:v>
      </x:c>
      <x:c r="E222" s="2590" t="s">
        <x:v>849</x:v>
      </x:c>
      <x:c r="F222" s="2590" t="s">
        <x:v>535</x:v>
      </x:c>
      <x:c r="G222" s="2590" t="s">
        <x:v>776</x:v>
      </x:c>
      <x:c r="H222" s="2590" t="s">
        <x:v>782</x:v>
      </x:c>
      <x:c r="I222" s="2590" t="s">
        <x:v>783</x:v>
      </x:c>
      <x:c r="J222" s="2590" t="s">
        <x:v>784</x:v>
      </x:c>
      <x:c r="K222" s="2581" t="s">
        <x:v>661</x:v>
      </x:c>
      <x:c r="L222" s="2581" t="s">
        <x:v>795</x:v>
      </x:c>
      <x:c r="M222" s="2581" t="s">
        <x:v>797</x:v>
      </x:c>
      <x:c r="N222" s="2383">
        <x:v>43</x:v>
      </x:c>
      <x:c r="O222" s="2394"/>
      <x:c r="P222" s="2530">
        <x:v>1.7000000000000001E-2</x:v>
      </x:c>
      <x:c r="Q222" s="2590" t="s">
        <x:v>787</x:v>
      </x:c>
      <x:c r="R222" s="2581" t="s">
        <x:v>661</x:v>
      </x:c>
      <x:c r="S222" s="2590" t="s">
        <x:v>760</x:v>
      </x:c>
      <x:c r="T222" s="2590" t="s">
        <x:v>850</x:v>
      </x:c>
      <x:c r="U222" s="2590" t="s">
        <x:v>762</x:v>
      </x:c>
      <x:c r="V222" s="2581" t="s">
        <x:v>763</x:v>
      </x:c>
      <x:c r="W222" s="861"/>
      <x:c r="X222" s="1155"/>
    </x:row>
    <x:row r="223" ht="39" customHeight="1">
      <x:c r="A223" s="2801">
        <x:v>45748</x:v>
      </x:c>
      <x:c r="B223" s="2797">
        <x:v>45838</x:v>
      </x:c>
      <x:c r="C223" s="2590" t="s">
        <x:v>131</x:v>
      </x:c>
      <x:c r="D223" s="2590" t="s">
        <x:v>848</x:v>
      </x:c>
      <x:c r="E223" s="2590" t="s">
        <x:v>849</x:v>
      </x:c>
      <x:c r="F223" s="2590" t="s">
        <x:v>535</x:v>
      </x:c>
      <x:c r="G223" s="2590" t="s">
        <x:v>776</x:v>
      </x:c>
      <x:c r="H223" s="2590" t="s">
        <x:v>782</x:v>
      </x:c>
      <x:c r="I223" s="2590" t="s">
        <x:v>783</x:v>
      </x:c>
      <x:c r="J223" s="2590" t="s">
        <x:v>784</x:v>
      </x:c>
      <x:c r="K223" s="2581" t="s">
        <x:v>697</x:v>
      </x:c>
      <x:c r="L223" s="2581" t="s">
        <x:v>795</x:v>
      </x:c>
      <x:c r="M223" s="2581" t="s">
        <x:v>828</x:v>
      </x:c>
      <x:c r="N223" s="2383">
        <x:v>43</x:v>
      </x:c>
      <x:c r="O223" s="2394"/>
      <x:c r="P223" s="2530">
        <x:v>1.7000000000000001E-2</x:v>
      </x:c>
      <x:c r="Q223" s="2590" t="s">
        <x:v>787</x:v>
      </x:c>
      <x:c r="R223" s="2581" t="s">
        <x:v>697</x:v>
      </x:c>
      <x:c r="S223" s="2590" t="s">
        <x:v>760</x:v>
      </x:c>
      <x:c r="T223" s="2590" t="s">
        <x:v>850</x:v>
      </x:c>
      <x:c r="U223" s="2590" t="s">
        <x:v>762</x:v>
      </x:c>
      <x:c r="V223" s="2581" t="s">
        <x:v>763</x:v>
      </x:c>
      <x:c r="W223" s="861"/>
      <x:c r="X223" s="1155"/>
    </x:row>
    <x:row r="224" ht="39" customHeight="1">
      <x:c r="A224" s="2801">
        <x:v>45474</x:v>
      </x:c>
      <x:c r="B224" s="2797">
        <x:v>45565</x:v>
      </x:c>
      <x:c r="C224" s="2590" t="s">
        <x:v>131</x:v>
      </x:c>
      <x:c r="D224" s="2590" t="s">
        <x:v>754</x:v>
      </x:c>
      <x:c r="E224" s="2590" t="s">
        <x:v>755</x:v>
      </x:c>
      <x:c r="F224" s="2590" t="s">
        <x:v>535</x:v>
      </x:c>
      <x:c r="G224" s="2590" t="s">
        <x:v>62</x:v>
      </x:c>
      <x:c r="H224" s="2590" t="s">
        <x:v>764</x:v>
      </x:c>
      <x:c r="I224" s="2590" t="s">
        <x:v>765</x:v>
      </x:c>
      <x:c r="J224" s="2590" t="s">
        <x:v>852</x:v>
      </x:c>
      <x:c r="K224" s="2581" t="s">
        <x:v>581</x:v>
      </x:c>
      <x:c r="L224" s="2818"/>
      <x:c r="M224" s="2818"/>
      <x:c r="N224" s="2383"/>
      <x:c r="O224" s="2394">
        <x:v>1</x:v>
      </x:c>
      <x:c r="P224" s="2530"/>
      <x:c r="Q224" s="2590" t="s">
        <x:v>766</x:v>
      </x:c>
      <x:c r="R224" s="2581" t="s">
        <x:v>581</x:v>
      </x:c>
      <x:c r="S224" s="2590" t="s">
        <x:v>760</x:v>
      </x:c>
      <x:c r="T224" s="2590" t="s">
        <x:v>844</x:v>
      </x:c>
      <x:c r="U224" s="2590" t="s">
        <x:v>762</x:v>
      </x:c>
      <x:c r="V224" s="2581" t="s">
        <x:v>763</x:v>
      </x:c>
      <x:c r="W224" s="861"/>
      <x:c r="X224" s="1155"/>
    </x:row>
    <x:row r="225" ht="39" customHeight="1">
      <x:c r="A225" s="2801">
        <x:v>45474</x:v>
      </x:c>
      <x:c r="B225" s="2797">
        <x:v>45565</x:v>
      </x:c>
      <x:c r="C225" s="2590" t="s">
        <x:v>131</x:v>
      </x:c>
      <x:c r="D225" s="2590" t="s">
        <x:v>754</x:v>
      </x:c>
      <x:c r="E225" s="2590" t="s">
        <x:v>755</x:v>
      </x:c>
      <x:c r="F225" s="2590" t="s">
        <x:v>535</x:v>
      </x:c>
      <x:c r="G225" s="2590" t="s">
        <x:v>62</x:v>
      </x:c>
      <x:c r="H225" s="2590" t="s">
        <x:v>764</x:v>
      </x:c>
      <x:c r="I225" s="2590" t="s">
        <x:v>765</x:v>
      </x:c>
      <x:c r="J225" s="2590" t="s">
        <x:v>852</x:v>
      </x:c>
      <x:c r="K225" s="2581" t="s">
        <x:v>582</x:v>
      </x:c>
      <x:c r="L225" s="2818"/>
      <x:c r="M225" s="2818"/>
      <x:c r="N225" s="2383"/>
      <x:c r="O225" s="2394">
        <x:v>0.8</x:v>
      </x:c>
      <x:c r="P225" s="2530"/>
      <x:c r="Q225" s="2590" t="s">
        <x:v>766</x:v>
      </x:c>
      <x:c r="R225" s="2581" t="s">
        <x:v>582</x:v>
      </x:c>
      <x:c r="S225" s="2590" t="s">
        <x:v>760</x:v>
      </x:c>
      <x:c r="T225" s="2590" t="s">
        <x:v>844</x:v>
      </x:c>
      <x:c r="U225" s="2590" t="s">
        <x:v>762</x:v>
      </x:c>
      <x:c r="V225" s="2581" t="s">
        <x:v>763</x:v>
      </x:c>
      <x:c r="W225" s="861"/>
      <x:c r="X225" s="1155"/>
    </x:row>
    <x:row r="226" ht="39" customHeight="1">
      <x:c r="A226" s="2801">
        <x:v>45474</x:v>
      </x:c>
      <x:c r="B226" s="2797">
        <x:v>45565</x:v>
      </x:c>
      <x:c r="C226" s="2590" t="s">
        <x:v>131</x:v>
      </x:c>
      <x:c r="D226" s="2590" t="s">
        <x:v>754</x:v>
      </x:c>
      <x:c r="E226" s="2590" t="s">
        <x:v>755</x:v>
      </x:c>
      <x:c r="F226" s="2590" t="s">
        <x:v>535</x:v>
      </x:c>
      <x:c r="G226" s="2590" t="s">
        <x:v>62</x:v>
      </x:c>
      <x:c r="H226" s="2590" t="s">
        <x:v>764</x:v>
      </x:c>
      <x:c r="I226" s="2590" t="s">
        <x:v>765</x:v>
      </x:c>
      <x:c r="J226" s="2590" t="s">
        <x:v>852</x:v>
      </x:c>
      <x:c r="K226" s="2581" t="s">
        <x:v>583</x:v>
      </x:c>
      <x:c r="L226" s="2818"/>
      <x:c r="M226" s="2818"/>
      <x:c r="N226" s="2383"/>
      <x:c r="O226" s="2394">
        <x:v>0.8</x:v>
      </x:c>
      <x:c r="P226" s="2530"/>
      <x:c r="Q226" s="2590" t="s">
        <x:v>766</x:v>
      </x:c>
      <x:c r="R226" s="2581" t="s">
        <x:v>583</x:v>
      </x:c>
      <x:c r="S226" s="2590" t="s">
        <x:v>760</x:v>
      </x:c>
      <x:c r="T226" s="2590" t="s">
        <x:v>844</x:v>
      </x:c>
      <x:c r="U226" s="2590" t="s">
        <x:v>762</x:v>
      </x:c>
      <x:c r="V226" s="2581" t="s">
        <x:v>763</x:v>
      </x:c>
      <x:c r="W226" s="861"/>
      <x:c r="X226" s="1155"/>
    </x:row>
    <x:row r="227" ht="39" customHeight="1">
      <x:c r="A227" s="2801">
        <x:v>45566</x:v>
      </x:c>
      <x:c r="B227" s="2797">
        <x:v>45657</x:v>
      </x:c>
      <x:c r="C227" s="2590" t="s">
        <x:v>131</x:v>
      </x:c>
      <x:c r="D227" s="2590" t="s">
        <x:v>829</x:v>
      </x:c>
      <x:c r="E227" s="2590" t="s">
        <x:v>830</x:v>
      </x:c>
      <x:c r="F227" s="2590" t="s">
        <x:v>535</x:v>
      </x:c>
      <x:c r="G227" s="2590" t="s">
        <x:v>62</x:v>
      </x:c>
      <x:c r="H227" s="2590" t="s">
        <x:v>764</x:v>
      </x:c>
      <x:c r="I227" s="2590" t="s">
        <x:v>765</x:v>
      </x:c>
      <x:c r="J227" s="2590" t="s">
        <x:v>852</x:v>
      </x:c>
      <x:c r="K227" s="2581" t="s">
        <x:v>581</x:v>
      </x:c>
      <x:c r="L227" s="2818"/>
      <x:c r="M227" s="2818"/>
      <x:c r="N227" s="2383"/>
      <x:c r="O227" s="2394">
        <x:v>0.9</x:v>
      </x:c>
      <x:c r="P227" s="2530"/>
      <x:c r="Q227" s="2590" t="s">
        <x:v>766</x:v>
      </x:c>
      <x:c r="R227" s="2581" t="s">
        <x:v>581</x:v>
      </x:c>
      <x:c r="S227" s="2590" t="s">
        <x:v>760</x:v>
      </x:c>
      <x:c r="T227" s="2590" t="s">
        <x:v>844</x:v>
      </x:c>
      <x:c r="U227" s="2590" t="s">
        <x:v>762</x:v>
      </x:c>
      <x:c r="V227" s="2581" t="s">
        <x:v>763</x:v>
      </x:c>
      <x:c r="W227" s="861"/>
      <x:c r="X227" s="1155"/>
    </x:row>
    <x:row r="228" ht="39" customHeight="1">
      <x:c r="A228" s="2801">
        <x:v>45566</x:v>
      </x:c>
      <x:c r="B228" s="2797">
        <x:v>45657</x:v>
      </x:c>
      <x:c r="C228" s="2590" t="s">
        <x:v>131</x:v>
      </x:c>
      <x:c r="D228" s="2590" t="s">
        <x:v>829</x:v>
      </x:c>
      <x:c r="E228" s="2590" t="s">
        <x:v>830</x:v>
      </x:c>
      <x:c r="F228" s="2590" t="s">
        <x:v>535</x:v>
      </x:c>
      <x:c r="G228" s="2590" t="s">
        <x:v>62</x:v>
      </x:c>
      <x:c r="H228" s="2590" t="s">
        <x:v>764</x:v>
      </x:c>
      <x:c r="I228" s="2590" t="s">
        <x:v>765</x:v>
      </x:c>
      <x:c r="J228" s="2590" t="s">
        <x:v>852</x:v>
      </x:c>
      <x:c r="K228" s="2581" t="s">
        <x:v>582</x:v>
      </x:c>
      <x:c r="L228" s="2818"/>
      <x:c r="M228" s="2818"/>
      <x:c r="N228" s="2383"/>
      <x:c r="O228" s="2394">
        <x:v>0.8</x:v>
      </x:c>
      <x:c r="P228" s="2530"/>
      <x:c r="Q228" s="2590" t="s">
        <x:v>766</x:v>
      </x:c>
      <x:c r="R228" s="2581" t="s">
        <x:v>582</x:v>
      </x:c>
      <x:c r="S228" s="2590" t="s">
        <x:v>760</x:v>
      </x:c>
      <x:c r="T228" s="2590" t="s">
        <x:v>844</x:v>
      </x:c>
      <x:c r="U228" s="2590" t="s">
        <x:v>762</x:v>
      </x:c>
      <x:c r="V228" s="2581" t="s">
        <x:v>763</x:v>
      </x:c>
      <x:c r="W228" s="861"/>
      <x:c r="X228" s="1155"/>
    </x:row>
    <x:row r="229" ht="39" customHeight="1">
      <x:c r="A229" s="2801">
        <x:v>45566</x:v>
      </x:c>
      <x:c r="B229" s="2797">
        <x:v>45657</x:v>
      </x:c>
      <x:c r="C229" s="2590" t="s">
        <x:v>131</x:v>
      </x:c>
      <x:c r="D229" s="2590" t="s">
        <x:v>829</x:v>
      </x:c>
      <x:c r="E229" s="2590" t="s">
        <x:v>830</x:v>
      </x:c>
      <x:c r="F229" s="2590" t="s">
        <x:v>535</x:v>
      </x:c>
      <x:c r="G229" s="2590" t="s">
        <x:v>62</x:v>
      </x:c>
      <x:c r="H229" s="2590" t="s">
        <x:v>764</x:v>
      </x:c>
      <x:c r="I229" s="2590" t="s">
        <x:v>765</x:v>
      </x:c>
      <x:c r="J229" s="2590" t="s">
        <x:v>852</x:v>
      </x:c>
      <x:c r="K229" s="2581" t="s">
        <x:v>583</x:v>
      </x:c>
      <x:c r="L229" s="2818"/>
      <x:c r="M229" s="2818"/>
      <x:c r="N229" s="2383"/>
      <x:c r="O229" s="2394">
        <x:v>0.7</x:v>
      </x:c>
      <x:c r="P229" s="2530"/>
      <x:c r="Q229" s="2590" t="s">
        <x:v>766</x:v>
      </x:c>
      <x:c r="R229" s="2581" t="s">
        <x:v>583</x:v>
      </x:c>
      <x:c r="S229" s="2590" t="s">
        <x:v>760</x:v>
      </x:c>
      <x:c r="T229" s="2590" t="s">
        <x:v>844</x:v>
      </x:c>
      <x:c r="U229" s="2590" t="s">
        <x:v>762</x:v>
      </x:c>
      <x:c r="V229" s="2581" t="s">
        <x:v>763</x:v>
      </x:c>
      <x:c r="W229" s="861"/>
      <x:c r="X229" s="1155"/>
    </x:row>
    <x:row r="230" ht="39" customHeight="1">
      <x:c r="A230" s="2801">
        <x:v>45658</x:v>
      </x:c>
      <x:c r="B230" s="2797">
        <x:v>45747</x:v>
      </x:c>
      <x:c r="C230" s="2590" t="s">
        <x:v>131</x:v>
      </x:c>
      <x:c r="D230" s="2590" t="s">
        <x:v>842</x:v>
      </x:c>
      <x:c r="E230" s="2590" t="s">
        <x:v>843</x:v>
      </x:c>
      <x:c r="F230" s="2590" t="s">
        <x:v>535</x:v>
      </x:c>
      <x:c r="G230" s="2590" t="s">
        <x:v>62</x:v>
      </x:c>
      <x:c r="H230" s="2590" t="s">
        <x:v>764</x:v>
      </x:c>
      <x:c r="I230" s="2590" t="s">
        <x:v>765</x:v>
      </x:c>
      <x:c r="J230" s="2590" t="s">
        <x:v>852</x:v>
      </x:c>
      <x:c r="K230" s="2581" t="s">
        <x:v>581</x:v>
      </x:c>
      <x:c r="L230" s="2818"/>
      <x:c r="M230" s="2818"/>
      <x:c r="N230" s="2383"/>
      <x:c r="O230" s="2394">
        <x:v>0.9</x:v>
      </x:c>
      <x:c r="P230" s="2530"/>
      <x:c r="Q230" s="2590" t="s">
        <x:v>766</x:v>
      </x:c>
      <x:c r="R230" s="2581" t="s">
        <x:v>581</x:v>
      </x:c>
      <x:c r="S230" s="2590" t="s">
        <x:v>760</x:v>
      </x:c>
      <x:c r="T230" s="2590" t="s">
        <x:v>844</x:v>
      </x:c>
      <x:c r="U230" s="2590" t="s">
        <x:v>762</x:v>
      </x:c>
      <x:c r="V230" s="2581" t="s">
        <x:v>763</x:v>
      </x:c>
      <x:c r="W230" s="861"/>
      <x:c r="X230" s="1155"/>
    </x:row>
    <x:row r="231" ht="39" customHeight="1">
      <x:c r="A231" s="2801">
        <x:v>45658</x:v>
      </x:c>
      <x:c r="B231" s="2797">
        <x:v>45747</x:v>
      </x:c>
      <x:c r="C231" s="2590" t="s">
        <x:v>131</x:v>
      </x:c>
      <x:c r="D231" s="2590" t="s">
        <x:v>842</x:v>
      </x:c>
      <x:c r="E231" s="2590" t="s">
        <x:v>843</x:v>
      </x:c>
      <x:c r="F231" s="2590" t="s">
        <x:v>535</x:v>
      </x:c>
      <x:c r="G231" s="2590" t="s">
        <x:v>62</x:v>
      </x:c>
      <x:c r="H231" s="2590" t="s">
        <x:v>764</x:v>
      </x:c>
      <x:c r="I231" s="2590" t="s">
        <x:v>765</x:v>
      </x:c>
      <x:c r="J231" s="2590" t="s">
        <x:v>852</x:v>
      </x:c>
      <x:c r="K231" s="2581" t="s">
        <x:v>582</x:v>
      </x:c>
      <x:c r="L231" s="2818"/>
      <x:c r="M231" s="2818"/>
      <x:c r="N231" s="2383"/>
      <x:c r="O231" s="2394">
        <x:v>0.8</x:v>
      </x:c>
      <x:c r="P231" s="2530"/>
      <x:c r="Q231" s="2590" t="s">
        <x:v>766</x:v>
      </x:c>
      <x:c r="R231" s="2581" t="s">
        <x:v>582</x:v>
      </x:c>
      <x:c r="S231" s="2590" t="s">
        <x:v>760</x:v>
      </x:c>
      <x:c r="T231" s="2590" t="s">
        <x:v>844</x:v>
      </x:c>
      <x:c r="U231" s="2590" t="s">
        <x:v>762</x:v>
      </x:c>
      <x:c r="V231" s="2581" t="s">
        <x:v>763</x:v>
      </x:c>
      <x:c r="W231" s="861"/>
      <x:c r="X231" s="1155"/>
    </x:row>
    <x:row r="232" ht="39" customHeight="1">
      <x:c r="A232" s="2801">
        <x:v>45658</x:v>
      </x:c>
      <x:c r="B232" s="2797">
        <x:v>45747</x:v>
      </x:c>
      <x:c r="C232" s="2590" t="s">
        <x:v>131</x:v>
      </x:c>
      <x:c r="D232" s="2590" t="s">
        <x:v>842</x:v>
      </x:c>
      <x:c r="E232" s="2590" t="s">
        <x:v>843</x:v>
      </x:c>
      <x:c r="F232" s="2590" t="s">
        <x:v>535</x:v>
      </x:c>
      <x:c r="G232" s="2590" t="s">
        <x:v>62</x:v>
      </x:c>
      <x:c r="H232" s="2590" t="s">
        <x:v>764</x:v>
      </x:c>
      <x:c r="I232" s="2590" t="s">
        <x:v>765</x:v>
      </x:c>
      <x:c r="J232" s="2590" t="s">
        <x:v>852</x:v>
      </x:c>
      <x:c r="K232" s="2581" t="s">
        <x:v>583</x:v>
      </x:c>
      <x:c r="L232" s="2818"/>
      <x:c r="M232" s="2818"/>
      <x:c r="N232" s="2383"/>
      <x:c r="O232" s="2394">
        <x:v>0.9</x:v>
      </x:c>
      <x:c r="P232" s="2530"/>
      <x:c r="Q232" s="2590" t="s">
        <x:v>766</x:v>
      </x:c>
      <x:c r="R232" s="2581" t="s">
        <x:v>583</x:v>
      </x:c>
      <x:c r="S232" s="2590" t="s">
        <x:v>760</x:v>
      </x:c>
      <x:c r="T232" s="2590" t="s">
        <x:v>844</x:v>
      </x:c>
      <x:c r="U232" s="2590" t="s">
        <x:v>762</x:v>
      </x:c>
      <x:c r="V232" s="2581" t="s">
        <x:v>763</x:v>
      </x:c>
      <x:c r="W232" s="861"/>
      <x:c r="X232" s="1155"/>
    </x:row>
    <x:row r="233" ht="39" customHeight="1">
      <x:c r="A233" s="2801">
        <x:v>45474</x:v>
      </x:c>
      <x:c r="B233" s="2797">
        <x:v>45565</x:v>
      </x:c>
      <x:c r="C233" s="2590" t="s">
        <x:v>131</x:v>
      </x:c>
      <x:c r="D233" s="2590" t="s">
        <x:v>754</x:v>
      </x:c>
      <x:c r="E233" s="2590" t="s">
        <x:v>755</x:v>
      </x:c>
      <x:c r="F233" s="2590" t="s">
        <x:v>535</x:v>
      </x:c>
      <x:c r="G233" s="2590" t="s">
        <x:v>62</x:v>
      </x:c>
      <x:c r="H233" s="2590" t="s">
        <x:v>764</x:v>
      </x:c>
      <x:c r="I233" s="2590" t="s">
        <x:v>765</x:v>
      </x:c>
      <x:c r="J233" s="2590" t="s">
        <x:v>853</x:v>
      </x:c>
      <x:c r="K233" s="2581" t="s">
        <x:v>586</x:v>
      </x:c>
      <x:c r="L233" s="2818"/>
      <x:c r="M233" s="2818"/>
      <x:c r="N233" s="2383"/>
      <x:c r="O233" s="2394">
        <x:v>0.9</x:v>
      </x:c>
      <x:c r="P233" s="2530"/>
      <x:c r="Q233" s="2590" t="s">
        <x:v>766</x:v>
      </x:c>
      <x:c r="R233" s="2581" t="s">
        <x:v>586</x:v>
      </x:c>
      <x:c r="S233" s="2590" t="s">
        <x:v>760</x:v>
      </x:c>
      <x:c r="T233" s="2590" t="s">
        <x:v>844</x:v>
      </x:c>
      <x:c r="U233" s="2590" t="s">
        <x:v>762</x:v>
      </x:c>
      <x:c r="V233" s="2581" t="s">
        <x:v>763</x:v>
      </x:c>
      <x:c r="W233" s="861"/>
      <x:c r="X233" s="1155"/>
    </x:row>
    <x:row r="234" ht="39" customHeight="1">
      <x:c r="A234" s="2801">
        <x:v>45474</x:v>
      </x:c>
      <x:c r="B234" s="2797">
        <x:v>45565</x:v>
      </x:c>
      <x:c r="C234" s="2590" t="s">
        <x:v>131</x:v>
      </x:c>
      <x:c r="D234" s="2590" t="s">
        <x:v>754</x:v>
      </x:c>
      <x:c r="E234" s="2590" t="s">
        <x:v>755</x:v>
      </x:c>
      <x:c r="F234" s="2590" t="s">
        <x:v>535</x:v>
      </x:c>
      <x:c r="G234" s="2590" t="s">
        <x:v>62</x:v>
      </x:c>
      <x:c r="H234" s="2590" t="s">
        <x:v>764</x:v>
      </x:c>
      <x:c r="I234" s="2590" t="s">
        <x:v>765</x:v>
      </x:c>
      <x:c r="J234" s="2590" t="s">
        <x:v>853</x:v>
      </x:c>
      <x:c r="K234" s="2581" t="s">
        <x:v>587</x:v>
      </x:c>
      <x:c r="L234" s="2818"/>
      <x:c r="M234" s="2818"/>
      <x:c r="N234" s="2383"/>
      <x:c r="O234" s="2394">
        <x:v>0.8</x:v>
      </x:c>
      <x:c r="P234" s="2530"/>
      <x:c r="Q234" s="2590" t="s">
        <x:v>766</x:v>
      </x:c>
      <x:c r="R234" s="2581" t="s">
        <x:v>587</x:v>
      </x:c>
      <x:c r="S234" s="2590" t="s">
        <x:v>760</x:v>
      </x:c>
      <x:c r="T234" s="2590" t="s">
        <x:v>844</x:v>
      </x:c>
      <x:c r="U234" s="2590" t="s">
        <x:v>762</x:v>
      </x:c>
      <x:c r="V234" s="2581" t="s">
        <x:v>763</x:v>
      </x:c>
      <x:c r="W234" s="861"/>
      <x:c r="X234" s="1155"/>
    </x:row>
    <x:row r="235" ht="39" customHeight="1">
      <x:c r="A235" s="2801">
        <x:v>45474</x:v>
      </x:c>
      <x:c r="B235" s="2797">
        <x:v>45565</x:v>
      </x:c>
      <x:c r="C235" s="2590" t="s">
        <x:v>131</x:v>
      </x:c>
      <x:c r="D235" s="2590" t="s">
        <x:v>754</x:v>
      </x:c>
      <x:c r="E235" s="2590" t="s">
        <x:v>755</x:v>
      </x:c>
      <x:c r="F235" s="2590" t="s">
        <x:v>535</x:v>
      </x:c>
      <x:c r="G235" s="2590" t="s">
        <x:v>62</x:v>
      </x:c>
      <x:c r="H235" s="2590" t="s">
        <x:v>764</x:v>
      </x:c>
      <x:c r="I235" s="2590" t="s">
        <x:v>765</x:v>
      </x:c>
      <x:c r="J235" s="2590" t="s">
        <x:v>853</x:v>
      </x:c>
      <x:c r="K235" s="2581" t="s">
        <x:v>588</x:v>
      </x:c>
      <x:c r="L235" s="2818"/>
      <x:c r="M235" s="2818"/>
      <x:c r="N235" s="2383"/>
      <x:c r="O235" s="2394">
        <x:v>1</x:v>
      </x:c>
      <x:c r="P235" s="2530"/>
      <x:c r="Q235" s="2590" t="s">
        <x:v>766</x:v>
      </x:c>
      <x:c r="R235" s="2581" t="s">
        <x:v>588</x:v>
      </x:c>
      <x:c r="S235" s="2590" t="s">
        <x:v>760</x:v>
      </x:c>
      <x:c r="T235" s="2590" t="s">
        <x:v>844</x:v>
      </x:c>
      <x:c r="U235" s="2590" t="s">
        <x:v>762</x:v>
      </x:c>
      <x:c r="V235" s="2581" t="s">
        <x:v>763</x:v>
      </x:c>
      <x:c r="W235" s="861"/>
      <x:c r="X235" s="1155"/>
    </x:row>
    <x:row r="236" ht="39" customHeight="1">
      <x:c r="A236" s="2801">
        <x:v>45566</x:v>
      </x:c>
      <x:c r="B236" s="2797">
        <x:v>45657</x:v>
      </x:c>
      <x:c r="C236" s="2590" t="s">
        <x:v>131</x:v>
      </x:c>
      <x:c r="D236" s="2590" t="s">
        <x:v>829</x:v>
      </x:c>
      <x:c r="E236" s="2590" t="s">
        <x:v>830</x:v>
      </x:c>
      <x:c r="F236" s="2590" t="s">
        <x:v>535</x:v>
      </x:c>
      <x:c r="G236" s="2590" t="s">
        <x:v>62</x:v>
      </x:c>
      <x:c r="H236" s="2590" t="s">
        <x:v>764</x:v>
      </x:c>
      <x:c r="I236" s="2590" t="s">
        <x:v>765</x:v>
      </x:c>
      <x:c r="J236" s="2590" t="s">
        <x:v>853</x:v>
      </x:c>
      <x:c r="K236" s="2581" t="s">
        <x:v>586</x:v>
      </x:c>
      <x:c r="L236" s="2818"/>
      <x:c r="M236" s="2818"/>
      <x:c r="N236" s="2383"/>
      <x:c r="O236" s="2394">
        <x:v>0.9</x:v>
      </x:c>
      <x:c r="P236" s="2530"/>
      <x:c r="Q236" s="2590" t="s">
        <x:v>766</x:v>
      </x:c>
      <x:c r="R236" s="2581" t="s">
        <x:v>586</x:v>
      </x:c>
      <x:c r="S236" s="2590" t="s">
        <x:v>760</x:v>
      </x:c>
      <x:c r="T236" s="2590" t="s">
        <x:v>844</x:v>
      </x:c>
      <x:c r="U236" s="2590" t="s">
        <x:v>762</x:v>
      </x:c>
      <x:c r="V236" s="2581" t="s">
        <x:v>763</x:v>
      </x:c>
      <x:c r="W236" s="861"/>
      <x:c r="X236" s="1155"/>
    </x:row>
    <x:row r="237" ht="39" customHeight="1">
      <x:c r="A237" s="2801">
        <x:v>45566</x:v>
      </x:c>
      <x:c r="B237" s="2797">
        <x:v>45657</x:v>
      </x:c>
      <x:c r="C237" s="2590" t="s">
        <x:v>131</x:v>
      </x:c>
      <x:c r="D237" s="2590" t="s">
        <x:v>829</x:v>
      </x:c>
      <x:c r="E237" s="2590" t="s">
        <x:v>830</x:v>
      </x:c>
      <x:c r="F237" s="2590" t="s">
        <x:v>535</x:v>
      </x:c>
      <x:c r="G237" s="2590" t="s">
        <x:v>62</x:v>
      </x:c>
      <x:c r="H237" s="2590" t="s">
        <x:v>764</x:v>
      </x:c>
      <x:c r="I237" s="2590" t="s">
        <x:v>765</x:v>
      </x:c>
      <x:c r="J237" s="2590" t="s">
        <x:v>853</x:v>
      </x:c>
      <x:c r="K237" s="2581" t="s">
        <x:v>587</x:v>
      </x:c>
      <x:c r="L237" s="2818"/>
      <x:c r="M237" s="2818"/>
      <x:c r="N237" s="2383"/>
      <x:c r="O237" s="2394">
        <x:v>0.7</x:v>
      </x:c>
      <x:c r="P237" s="2530"/>
      <x:c r="Q237" s="2590" t="s">
        <x:v>766</x:v>
      </x:c>
      <x:c r="R237" s="2581" t="s">
        <x:v>587</x:v>
      </x:c>
      <x:c r="S237" s="2590" t="s">
        <x:v>760</x:v>
      </x:c>
      <x:c r="T237" s="2590" t="s">
        <x:v>844</x:v>
      </x:c>
      <x:c r="U237" s="2590" t="s">
        <x:v>762</x:v>
      </x:c>
      <x:c r="V237" s="2581" t="s">
        <x:v>763</x:v>
      </x:c>
      <x:c r="W237" s="861"/>
      <x:c r="X237" s="1155"/>
    </x:row>
    <x:row r="238" ht="39" customHeight="1">
      <x:c r="A238" s="2801">
        <x:v>45566</x:v>
      </x:c>
      <x:c r="B238" s="2797">
        <x:v>45657</x:v>
      </x:c>
      <x:c r="C238" s="2590" t="s">
        <x:v>131</x:v>
      </x:c>
      <x:c r="D238" s="2590" t="s">
        <x:v>829</x:v>
      </x:c>
      <x:c r="E238" s="2590" t="s">
        <x:v>830</x:v>
      </x:c>
      <x:c r="F238" s="2590" t="s">
        <x:v>535</x:v>
      </x:c>
      <x:c r="G238" s="2590" t="s">
        <x:v>62</x:v>
      </x:c>
      <x:c r="H238" s="2590" t="s">
        <x:v>764</x:v>
      </x:c>
      <x:c r="I238" s="2590" t="s">
        <x:v>765</x:v>
      </x:c>
      <x:c r="J238" s="2590" t="s">
        <x:v>853</x:v>
      </x:c>
      <x:c r="K238" s="2581" t="s">
        <x:v>588</x:v>
      </x:c>
      <x:c r="L238" s="2818"/>
      <x:c r="M238" s="2818"/>
      <x:c r="N238" s="2383"/>
      <x:c r="O238" s="2394">
        <x:v>0.7</x:v>
      </x:c>
      <x:c r="P238" s="2530"/>
      <x:c r="Q238" s="2590" t="s">
        <x:v>766</x:v>
      </x:c>
      <x:c r="R238" s="2581" t="s">
        <x:v>588</x:v>
      </x:c>
      <x:c r="S238" s="2590" t="s">
        <x:v>760</x:v>
      </x:c>
      <x:c r="T238" s="2590" t="s">
        <x:v>844</x:v>
      </x:c>
      <x:c r="U238" s="2590" t="s">
        <x:v>762</x:v>
      </x:c>
      <x:c r="V238" s="2581" t="s">
        <x:v>763</x:v>
      </x:c>
      <x:c r="W238" s="861"/>
      <x:c r="X238" s="1155"/>
    </x:row>
    <x:row r="239" ht="39" customHeight="1">
      <x:c r="A239" s="2801">
        <x:v>45658</x:v>
      </x:c>
      <x:c r="B239" s="2797">
        <x:v>45747</x:v>
      </x:c>
      <x:c r="C239" s="2590" t="s">
        <x:v>131</x:v>
      </x:c>
      <x:c r="D239" s="2590" t="s">
        <x:v>842</x:v>
      </x:c>
      <x:c r="E239" s="2590" t="s">
        <x:v>843</x:v>
      </x:c>
      <x:c r="F239" s="2590" t="s">
        <x:v>535</x:v>
      </x:c>
      <x:c r="G239" s="2590" t="s">
        <x:v>62</x:v>
      </x:c>
      <x:c r="H239" s="2590" t="s">
        <x:v>764</x:v>
      </x:c>
      <x:c r="I239" s="2590" t="s">
        <x:v>765</x:v>
      </x:c>
      <x:c r="J239" s="2590" t="s">
        <x:v>853</x:v>
      </x:c>
      <x:c r="K239" s="2581" t="s">
        <x:v>586</x:v>
      </x:c>
      <x:c r="L239" s="2818"/>
      <x:c r="M239" s="2818"/>
      <x:c r="N239" s="2383"/>
      <x:c r="O239" s="2394">
        <x:v>1</x:v>
      </x:c>
      <x:c r="P239" s="2530"/>
      <x:c r="Q239" s="2590" t="s">
        <x:v>766</x:v>
      </x:c>
      <x:c r="R239" s="2581" t="s">
        <x:v>586</x:v>
      </x:c>
      <x:c r="S239" s="2590" t="s">
        <x:v>760</x:v>
      </x:c>
      <x:c r="T239" s="2590" t="s">
        <x:v>844</x:v>
      </x:c>
      <x:c r="U239" s="2590" t="s">
        <x:v>762</x:v>
      </x:c>
      <x:c r="V239" s="2581" t="s">
        <x:v>763</x:v>
      </x:c>
      <x:c r="W239" s="861"/>
      <x:c r="X239" s="1155"/>
    </x:row>
    <x:row r="240" ht="39" customHeight="1">
      <x:c r="A240" s="2801">
        <x:v>45658</x:v>
      </x:c>
      <x:c r="B240" s="2797">
        <x:v>45747</x:v>
      </x:c>
      <x:c r="C240" s="2590" t="s">
        <x:v>131</x:v>
      </x:c>
      <x:c r="D240" s="2590" t="s">
        <x:v>842</x:v>
      </x:c>
      <x:c r="E240" s="2590" t="s">
        <x:v>843</x:v>
      </x:c>
      <x:c r="F240" s="2590" t="s">
        <x:v>535</x:v>
      </x:c>
      <x:c r="G240" s="2590" t="s">
        <x:v>62</x:v>
      </x:c>
      <x:c r="H240" s="2590" t="s">
        <x:v>764</x:v>
      </x:c>
      <x:c r="I240" s="2590" t="s">
        <x:v>765</x:v>
      </x:c>
      <x:c r="J240" s="2590" t="s">
        <x:v>853</x:v>
      </x:c>
      <x:c r="K240" s="2581" t="s">
        <x:v>587</x:v>
      </x:c>
      <x:c r="L240" s="2818"/>
      <x:c r="M240" s="2818"/>
      <x:c r="N240" s="2383"/>
      <x:c r="O240" s="2394">
        <x:v>0.9</x:v>
      </x:c>
      <x:c r="P240" s="2530"/>
      <x:c r="Q240" s="2590" t="s">
        <x:v>766</x:v>
      </x:c>
      <x:c r="R240" s="2581" t="s">
        <x:v>587</x:v>
      </x:c>
      <x:c r="S240" s="2590" t="s">
        <x:v>760</x:v>
      </x:c>
      <x:c r="T240" s="2590" t="s">
        <x:v>844</x:v>
      </x:c>
      <x:c r="U240" s="2590" t="s">
        <x:v>762</x:v>
      </x:c>
      <x:c r="V240" s="2581" t="s">
        <x:v>763</x:v>
      </x:c>
      <x:c r="W240" s="861"/>
      <x:c r="X240" s="1155"/>
    </x:row>
    <x:row r="241" ht="39" customHeight="1">
      <x:c r="A241" s="2801">
        <x:v>45658</x:v>
      </x:c>
      <x:c r="B241" s="2797">
        <x:v>45747</x:v>
      </x:c>
      <x:c r="C241" s="2590" t="s">
        <x:v>131</x:v>
      </x:c>
      <x:c r="D241" s="2590" t="s">
        <x:v>842</x:v>
      </x:c>
      <x:c r="E241" s="2590" t="s">
        <x:v>843</x:v>
      </x:c>
      <x:c r="F241" s="2590" t="s">
        <x:v>535</x:v>
      </x:c>
      <x:c r="G241" s="2590" t="s">
        <x:v>62</x:v>
      </x:c>
      <x:c r="H241" s="2590" t="s">
        <x:v>764</x:v>
      </x:c>
      <x:c r="I241" s="2590" t="s">
        <x:v>765</x:v>
      </x:c>
      <x:c r="J241" s="2590" t="s">
        <x:v>853</x:v>
      </x:c>
      <x:c r="K241" s="2581" t="s">
        <x:v>588</x:v>
      </x:c>
      <x:c r="L241" s="2818"/>
      <x:c r="M241" s="2818"/>
      <x:c r="N241" s="2383"/>
      <x:c r="O241" s="2394">
        <x:v>0.6</x:v>
      </x:c>
      <x:c r="P241" s="2530"/>
      <x:c r="Q241" s="2590" t="s">
        <x:v>766</x:v>
      </x:c>
      <x:c r="R241" s="2581" t="s">
        <x:v>588</x:v>
      </x:c>
      <x:c r="S241" s="2590" t="s">
        <x:v>760</x:v>
      </x:c>
      <x:c r="T241" s="2590" t="s">
        <x:v>844</x:v>
      </x:c>
      <x:c r="U241" s="2590" t="s">
        <x:v>762</x:v>
      </x:c>
      <x:c r="V241" s="2581" t="s">
        <x:v>763</x:v>
      </x:c>
      <x:c r="W241" s="861"/>
      <x:c r="X241" s="1155"/>
    </x:row>
    <x:row r="242" ht="39" customHeight="1">
      <x:c r="A242" s="2801">
        <x:v>45748</x:v>
      </x:c>
      <x:c r="B242" s="2797">
        <x:v>45838</x:v>
      </x:c>
      <x:c r="C242" s="2590" t="s">
        <x:v>131</x:v>
      </x:c>
      <x:c r="D242" s="2590" t="s">
        <x:v>848</x:v>
      </x:c>
      <x:c r="E242" s="2590" t="s">
        <x:v>849</x:v>
      </x:c>
      <x:c r="F242" s="2590" t="s">
        <x:v>535</x:v>
      </x:c>
      <x:c r="G242" s="2590" t="s">
        <x:v>62</x:v>
      </x:c>
      <x:c r="H242" s="2590" t="s">
        <x:v>764</x:v>
      </x:c>
      <x:c r="I242" s="2590" t="s">
        <x:v>765</x:v>
      </x:c>
      <x:c r="J242" s="2590" t="s">
        <x:v>852</x:v>
      </x:c>
      <x:c r="K242" s="2581" t="s">
        <x:v>581</x:v>
      </x:c>
      <x:c r="L242" s="2818"/>
      <x:c r="M242" s="2818"/>
      <x:c r="N242" s="2383"/>
      <x:c r="O242" s="2394">
        <x:v>0.9</x:v>
      </x:c>
      <x:c r="P242" s="2530"/>
      <x:c r="Q242" s="2590" t="s">
        <x:v>766</x:v>
      </x:c>
      <x:c r="R242" s="2581" t="s">
        <x:v>581</x:v>
      </x:c>
      <x:c r="S242" s="2590" t="s">
        <x:v>760</x:v>
      </x:c>
      <x:c r="T242" s="2590" t="s">
        <x:v>850</x:v>
      </x:c>
      <x:c r="U242" s="2590" t="s">
        <x:v>762</x:v>
      </x:c>
      <x:c r="V242" s="2581" t="s">
        <x:v>763</x:v>
      </x:c>
      <x:c r="W242" s="861"/>
      <x:c r="X242" s="1155"/>
    </x:row>
    <x:row r="243" ht="39" customHeight="1">
      <x:c r="A243" s="2801">
        <x:v>45748</x:v>
      </x:c>
      <x:c r="B243" s="2797">
        <x:v>45838</x:v>
      </x:c>
      <x:c r="C243" s="2590" t="s">
        <x:v>131</x:v>
      </x:c>
      <x:c r="D243" s="2590" t="s">
        <x:v>848</x:v>
      </x:c>
      <x:c r="E243" s="2590" t="s">
        <x:v>849</x:v>
      </x:c>
      <x:c r="F243" s="2590" t="s">
        <x:v>535</x:v>
      </x:c>
      <x:c r="G243" s="2590" t="s">
        <x:v>62</x:v>
      </x:c>
      <x:c r="H243" s="2590" t="s">
        <x:v>764</x:v>
      </x:c>
      <x:c r="I243" s="2590" t="s">
        <x:v>765</x:v>
      </x:c>
      <x:c r="J243" s="2590" t="s">
        <x:v>852</x:v>
      </x:c>
      <x:c r="K243" s="2581" t="s">
        <x:v>582</x:v>
      </x:c>
      <x:c r="L243" s="2818"/>
      <x:c r="M243" s="2818"/>
      <x:c r="N243" s="2383"/>
      <x:c r="O243" s="2394">
        <x:v>1</x:v>
      </x:c>
      <x:c r="P243" s="2530"/>
      <x:c r="Q243" s="2590" t="s">
        <x:v>766</x:v>
      </x:c>
      <x:c r="R243" s="2581" t="s">
        <x:v>582</x:v>
      </x:c>
      <x:c r="S243" s="2590" t="s">
        <x:v>760</x:v>
      </x:c>
      <x:c r="T243" s="2590" t="s">
        <x:v>850</x:v>
      </x:c>
      <x:c r="U243" s="2590" t="s">
        <x:v>762</x:v>
      </x:c>
      <x:c r="V243" s="2581" t="s">
        <x:v>763</x:v>
      </x:c>
      <x:c r="W243" s="861"/>
      <x:c r="X243" s="1155"/>
    </x:row>
    <x:row r="244" ht="39" customHeight="1">
      <x:c r="A244" s="2801">
        <x:v>45748</x:v>
      </x:c>
      <x:c r="B244" s="2797">
        <x:v>45838</x:v>
      </x:c>
      <x:c r="C244" s="2590" t="s">
        <x:v>131</x:v>
      </x:c>
      <x:c r="D244" s="2590" t="s">
        <x:v>848</x:v>
      </x:c>
      <x:c r="E244" s="2590" t="s">
        <x:v>849</x:v>
      </x:c>
      <x:c r="F244" s="2590" t="s">
        <x:v>535</x:v>
      </x:c>
      <x:c r="G244" s="2590" t="s">
        <x:v>62</x:v>
      </x:c>
      <x:c r="H244" s="2590" t="s">
        <x:v>764</x:v>
      </x:c>
      <x:c r="I244" s="2590" t="s">
        <x:v>765</x:v>
      </x:c>
      <x:c r="J244" s="2590" t="s">
        <x:v>852</x:v>
      </x:c>
      <x:c r="K244" s="2581" t="s">
        <x:v>583</x:v>
      </x:c>
      <x:c r="L244" s="2818"/>
      <x:c r="M244" s="2818"/>
      <x:c r="N244" s="2383"/>
      <x:c r="O244" s="2394">
        <x:v>0.9</x:v>
      </x:c>
      <x:c r="P244" s="2530"/>
      <x:c r="Q244" s="2590" t="s">
        <x:v>766</x:v>
      </x:c>
      <x:c r="R244" s="2581" t="s">
        <x:v>583</x:v>
      </x:c>
      <x:c r="S244" s="2590" t="s">
        <x:v>760</x:v>
      </x:c>
      <x:c r="T244" s="2590" t="s">
        <x:v>850</x:v>
      </x:c>
      <x:c r="U244" s="2590" t="s">
        <x:v>762</x:v>
      </x:c>
      <x:c r="V244" s="2581" t="s">
        <x:v>763</x:v>
      </x:c>
      <x:c r="W244" s="861"/>
      <x:c r="X244" s="1155"/>
    </x:row>
    <x:row r="245" ht="39" customHeight="1">
      <x:c r="A245" s="2801">
        <x:v>45748</x:v>
      </x:c>
      <x:c r="B245" s="2797">
        <x:v>45838</x:v>
      </x:c>
      <x:c r="C245" s="2590" t="s">
        <x:v>131</x:v>
      </x:c>
      <x:c r="D245" s="2590" t="s">
        <x:v>848</x:v>
      </x:c>
      <x:c r="E245" s="2590" t="s">
        <x:v>849</x:v>
      </x:c>
      <x:c r="F245" s="2590" t="s">
        <x:v>535</x:v>
      </x:c>
      <x:c r="G245" s="2590" t="s">
        <x:v>62</x:v>
      </x:c>
      <x:c r="H245" s="2590" t="s">
        <x:v>764</x:v>
      </x:c>
      <x:c r="I245" s="2590" t="s">
        <x:v>765</x:v>
      </x:c>
      <x:c r="J245" s="2590" t="s">
        <x:v>853</x:v>
      </x:c>
      <x:c r="K245" s="2581" t="s">
        <x:v>586</x:v>
      </x:c>
      <x:c r="L245" s="2818"/>
      <x:c r="M245" s="2818"/>
      <x:c r="N245" s="2383"/>
      <x:c r="O245" s="2394">
        <x:v>1.1000000000000001</x:v>
      </x:c>
      <x:c r="P245" s="2530"/>
      <x:c r="Q245" s="2590" t="s">
        <x:v>766</x:v>
      </x:c>
      <x:c r="R245" s="2581" t="s">
        <x:v>586</x:v>
      </x:c>
      <x:c r="S245" s="2590" t="s">
        <x:v>760</x:v>
      </x:c>
      <x:c r="T245" s="2590" t="s">
        <x:v>850</x:v>
      </x:c>
      <x:c r="U245" s="2590" t="s">
        <x:v>762</x:v>
      </x:c>
      <x:c r="V245" s="2581" t="s">
        <x:v>763</x:v>
      </x:c>
      <x:c r="W245" s="861"/>
      <x:c r="X245" s="1155"/>
    </x:row>
    <x:row r="246" ht="39" customHeight="1">
      <x:c r="A246" s="2801">
        <x:v>45748</x:v>
      </x:c>
      <x:c r="B246" s="2797">
        <x:v>45838</x:v>
      </x:c>
      <x:c r="C246" s="2590" t="s">
        <x:v>131</x:v>
      </x:c>
      <x:c r="D246" s="2590" t="s">
        <x:v>848</x:v>
      </x:c>
      <x:c r="E246" s="2590" t="s">
        <x:v>849</x:v>
      </x:c>
      <x:c r="F246" s="2590" t="s">
        <x:v>535</x:v>
      </x:c>
      <x:c r="G246" s="2590" t="s">
        <x:v>62</x:v>
      </x:c>
      <x:c r="H246" s="2590" t="s">
        <x:v>764</x:v>
      </x:c>
      <x:c r="I246" s="2590" t="s">
        <x:v>765</x:v>
      </x:c>
      <x:c r="J246" s="2590" t="s">
        <x:v>853</x:v>
      </x:c>
      <x:c r="K246" s="2581" t="s">
        <x:v>587</x:v>
      </x:c>
      <x:c r="L246" s="2818"/>
      <x:c r="M246" s="2818"/>
      <x:c r="N246" s="2383"/>
      <x:c r="O246" s="2394">
        <x:v>0.9</x:v>
      </x:c>
      <x:c r="P246" s="2530"/>
      <x:c r="Q246" s="2590" t="s">
        <x:v>766</x:v>
      </x:c>
      <x:c r="R246" s="2581" t="s">
        <x:v>587</x:v>
      </x:c>
      <x:c r="S246" s="2590" t="s">
        <x:v>760</x:v>
      </x:c>
      <x:c r="T246" s="2590" t="s">
        <x:v>850</x:v>
      </x:c>
      <x:c r="U246" s="2590" t="s">
        <x:v>762</x:v>
      </x:c>
      <x:c r="V246" s="2581" t="s">
        <x:v>763</x:v>
      </x:c>
      <x:c r="W246" s="861"/>
      <x:c r="X246" s="1155"/>
    </x:row>
    <x:row r="247" ht="39" customHeight="1">
      <x:c r="A247" s="2801">
        <x:v>45748</x:v>
      </x:c>
      <x:c r="B247" s="2797">
        <x:v>45838</x:v>
      </x:c>
      <x:c r="C247" s="2590" t="s">
        <x:v>131</x:v>
      </x:c>
      <x:c r="D247" s="2590" t="s">
        <x:v>848</x:v>
      </x:c>
      <x:c r="E247" s="2590" t="s">
        <x:v>849</x:v>
      </x:c>
      <x:c r="F247" s="2590" t="s">
        <x:v>535</x:v>
      </x:c>
      <x:c r="G247" s="2590" t="s">
        <x:v>62</x:v>
      </x:c>
      <x:c r="H247" s="2590" t="s">
        <x:v>764</x:v>
      </x:c>
      <x:c r="I247" s="2590" t="s">
        <x:v>765</x:v>
      </x:c>
      <x:c r="J247" s="2590" t="s">
        <x:v>853</x:v>
      </x:c>
      <x:c r="K247" s="2581" t="s">
        <x:v>588</x:v>
      </x:c>
      <x:c r="L247" s="2818"/>
      <x:c r="M247" s="2818"/>
      <x:c r="N247" s="2383"/>
      <x:c r="O247" s="2394">
        <x:v>0.6</x:v>
      </x:c>
      <x:c r="P247" s="2530"/>
      <x:c r="Q247" s="2590" t="s">
        <x:v>766</x:v>
      </x:c>
      <x:c r="R247" s="2581" t="s">
        <x:v>588</x:v>
      </x:c>
      <x:c r="S247" s="2590" t="s">
        <x:v>760</x:v>
      </x:c>
      <x:c r="T247" s="2590" t="s">
        <x:v>850</x:v>
      </x:c>
      <x:c r="U247" s="2590" t="s">
        <x:v>762</x:v>
      </x:c>
      <x:c r="V247" s="2581" t="s">
        <x:v>763</x:v>
      </x:c>
      <x:c r="W247" s="861"/>
      <x:c r="X247" s="1155"/>
    </x:row>
    <x:row r="248" ht="39" customHeight="1">
      <x:c r="A248" s="2801">
        <x:v>45962</x:v>
      </x:c>
      <x:c r="B248" s="2797">
        <x:v>46022</x:v>
      </x:c>
      <x:c r="C248" s="2590" t="s">
        <x:v>854</x:v>
      </x:c>
      <x:c r="D248" s="2590" t="s">
        <x:v>829</x:v>
      </x:c>
      <x:c r="E248" s="2590" t="s">
        <x:v>855</x:v>
      </x:c>
      <x:c r="F248" s="2590" t="s">
        <x:v>856</x:v>
      </x:c>
      <x:c r="G248" s="2590" t="s">
        <x:v>82</x:v>
      </x:c>
      <x:c r="H248" s="2590" t="s">
        <x:v>756</x:v>
      </x:c>
      <x:c r="I248" s="2590" t="s">
        <x:v>757</x:v>
      </x:c>
      <x:c r="J248" s="2590" t="s">
        <x:v>758</x:v>
      </x:c>
      <x:c r="K248" s="2581" t="s">
        <x:v>82</x:v>
      </x:c>
      <x:c r="L248" s="2818"/>
      <x:c r="M248" s="2818"/>
      <x:c r="N248" s="2383">
        <x:v>1551</x:v>
      </x:c>
      <x:c r="O248" s="2394"/>
      <x:c r="P248" s="2530"/>
      <x:c r="Q248" s="2590" t="s">
        <x:v>320</x:v>
      </x:c>
      <x:c r="R248" s="2581" t="s">
        <x:v>757</x:v>
      </x:c>
      <x:c r="S248" s="2590" t="s">
        <x:v>137</x:v>
      </x:c>
      <x:c r="T248" s="2590" t="s">
        <x:v>195</x:v>
      </x:c>
      <x:c r="U248" s="2590" t="s">
        <x:v>140</x:v>
      </x:c>
      <x:c r="V248" s="2581" t="s">
        <x:v>857</x:v>
      </x:c>
      <x:c r="W248" s="861"/>
      <x:c r="X248" s="1155"/>
    </x:row>
    <x:row r="249" ht="39" customHeight="1">
      <x:c r="A249" s="2801">
        <x:v>45962</x:v>
      </x:c>
      <x:c r="B249" s="2797">
        <x:v>46022</x:v>
      </x:c>
      <x:c r="C249" s="2590" t="s">
        <x:v>854</x:v>
      </x:c>
      <x:c r="D249" s="2590" t="s">
        <x:v>829</x:v>
      </x:c>
      <x:c r="E249" s="2590" t="s">
        <x:v>855</x:v>
      </x:c>
      <x:c r="F249" s="2590" t="s">
        <x:v>856</x:v>
      </x:c>
      <x:c r="G249" s="2590" t="s">
        <x:v>82</x:v>
      </x:c>
      <x:c r="H249" s="2590" t="s">
        <x:v>756</x:v>
      </x:c>
      <x:c r="I249" s="2590" t="s">
        <x:v>858</x:v>
      </x:c>
      <x:c r="J249" s="2590" t="s">
        <x:v>758</x:v>
      </x:c>
      <x:c r="K249" s="2581" t="s">
        <x:v>859</x:v>
      </x:c>
      <x:c r="L249" s="2818"/>
      <x:c r="M249" s="2818"/>
      <x:c r="N249" s="2383">
        <x:v>2871</x:v>
      </x:c>
      <x:c r="O249" s="2394"/>
      <x:c r="P249" s="2530"/>
      <x:c r="Q249" s="2590" t="s">
        <x:v>320</x:v>
      </x:c>
      <x:c r="R249" s="2581" t="s">
        <x:v>858</x:v>
      </x:c>
      <x:c r="S249" s="2590" t="s">
        <x:v>137</x:v>
      </x:c>
      <x:c r="T249" s="2590" t="s">
        <x:v>195</x:v>
      </x:c>
      <x:c r="U249" s="2590" t="s">
        <x:v>140</x:v>
      </x:c>
      <x:c r="V249" s="2581" t="s">
        <x:v>860</x:v>
      </x:c>
      <x:c r="W249" s="861"/>
      <x:c r="X249" s="1155"/>
    </x:row>
    <x:row r="250" ht="39" customHeight="1">
      <x:c r="A250" s="2801">
        <x:v>45962</x:v>
      </x:c>
      <x:c r="B250" s="2797">
        <x:v>46022</x:v>
      </x:c>
      <x:c r="C250" s="2590" t="s">
        <x:v>854</x:v>
      </x:c>
      <x:c r="D250" s="2590" t="s">
        <x:v>829</x:v>
      </x:c>
      <x:c r="E250" s="2590" t="s">
        <x:v>855</x:v>
      </x:c>
      <x:c r="F250" s="2590" t="s">
        <x:v>856</x:v>
      </x:c>
      <x:c r="G250" s="2590" t="s">
        <x:v>82</x:v>
      </x:c>
      <x:c r="H250" s="2590" t="s">
        <x:v>764</x:v>
      </x:c>
      <x:c r="I250" s="2590" t="s">
        <x:v>765</x:v>
      </x:c>
      <x:c r="J250" s="2590" t="s">
        <x:v>758</x:v>
      </x:c>
      <x:c r="K250" s="2581" t="s">
        <x:v>82</x:v>
      </x:c>
      <x:c r="L250" s="2818"/>
      <x:c r="M250" s="2818"/>
      <x:c r="N250" s="2383"/>
      <x:c r="O250" s="2394">
        <x:v>1.2</x:v>
      </x:c>
      <x:c r="P250" s="2530"/>
      <x:c r="Q250" s="2590" t="s">
        <x:v>766</x:v>
      </x:c>
      <x:c r="R250" s="2581" t="s">
        <x:v>767</x:v>
      </x:c>
      <x:c r="S250" s="2590" t="s">
        <x:v>137</x:v>
      </x:c>
      <x:c r="T250" s="2590" t="s">
        <x:v>195</x:v>
      </x:c>
      <x:c r="U250" s="2590" t="s">
        <x:v>140</x:v>
      </x:c>
      <x:c r="V250" s="2581" t="s">
        <x:v>861</x:v>
      </x:c>
      <x:c r="W250" s="861"/>
      <x:c r="X250" s="1155"/>
    </x:row>
    <x:row r="251" ht="39" customHeight="1">
      <x:c r="A251" s="2801">
        <x:v>45962</x:v>
      </x:c>
      <x:c r="B251" s="2797">
        <x:v>46022</x:v>
      </x:c>
      <x:c r="C251" s="2590" t="s">
        <x:v>854</x:v>
      </x:c>
      <x:c r="D251" s="2590" t="s">
        <x:v>829</x:v>
      </x:c>
      <x:c r="E251" s="2590" t="s">
        <x:v>855</x:v>
      </x:c>
      <x:c r="F251" s="2590" t="s">
        <x:v>856</x:v>
      </x:c>
      <x:c r="G251" s="2590" t="s">
        <x:v>82</x:v>
      </x:c>
      <x:c r="H251" s="2590" t="s">
        <x:v>764</x:v>
      </x:c>
      <x:c r="I251" s="2590" t="s">
        <x:v>765</x:v>
      </x:c>
      <x:c r="J251" s="2590" t="s">
        <x:v>853</x:v>
      </x:c>
      <x:c r="K251" s="2581" t="s">
        <x:v>586</x:v>
      </x:c>
      <x:c r="L251" s="2818"/>
      <x:c r="M251" s="2818"/>
      <x:c r="N251" s="2383"/>
      <x:c r="O251" s="2394">
        <x:v>1.1000000000000001</x:v>
      </x:c>
      <x:c r="P251" s="2530"/>
      <x:c r="Q251" s="2590" t="s">
        <x:v>766</x:v>
      </x:c>
      <x:c r="R251" s="2581" t="s">
        <x:v>586</x:v>
      </x:c>
      <x:c r="S251" s="2590" t="s">
        <x:v>137</x:v>
      </x:c>
      <x:c r="T251" s="2590" t="s">
        <x:v>195</x:v>
      </x:c>
      <x:c r="U251" s="2590" t="s">
        <x:v>140</x:v>
      </x:c>
      <x:c r="V251" s="2581" t="s">
        <x:v>862</x:v>
      </x:c>
      <x:c r="W251" s="861"/>
      <x:c r="X251" s="1155"/>
    </x:row>
    <x:row r="252" ht="39" customHeight="1">
      <x:c r="A252" s="2801">
        <x:v>45962</x:v>
      </x:c>
      <x:c r="B252" s="2797">
        <x:v>46022</x:v>
      </x:c>
      <x:c r="C252" s="2590" t="s">
        <x:v>854</x:v>
      </x:c>
      <x:c r="D252" s="2590" t="s">
        <x:v>829</x:v>
      </x:c>
      <x:c r="E252" s="2590" t="s">
        <x:v>855</x:v>
      </x:c>
      <x:c r="F252" s="2590" t="s">
        <x:v>856</x:v>
      </x:c>
      <x:c r="G252" s="2590" t="s">
        <x:v>82</x:v>
      </x:c>
      <x:c r="H252" s="2590" t="s">
        <x:v>764</x:v>
      </x:c>
      <x:c r="I252" s="2590" t="s">
        <x:v>765</x:v>
      </x:c>
      <x:c r="J252" s="2590" t="s">
        <x:v>853</x:v>
      </x:c>
      <x:c r="K252" s="2581" t="s">
        <x:v>587</x:v>
      </x:c>
      <x:c r="L252" s="2818"/>
      <x:c r="M252" s="2818"/>
      <x:c r="N252" s="2383"/>
      <x:c r="O252" s="2394">
        <x:v>1.3</x:v>
      </x:c>
      <x:c r="P252" s="2530"/>
      <x:c r="Q252" s="2590" t="s">
        <x:v>766</x:v>
      </x:c>
      <x:c r="R252" s="2581" t="s">
        <x:v>587</x:v>
      </x:c>
      <x:c r="S252" s="2590" t="s">
        <x:v>137</x:v>
      </x:c>
      <x:c r="T252" s="2590" t="s">
        <x:v>195</x:v>
      </x:c>
      <x:c r="U252" s="2590" t="s">
        <x:v>140</x:v>
      </x:c>
      <x:c r="V252" s="2581" t="s">
        <x:v>862</x:v>
      </x:c>
      <x:c r="W252" s="861"/>
      <x:c r="X252" s="1155"/>
    </x:row>
    <x:row r="253" ht="39" customHeight="1">
      <x:c r="A253" s="2801">
        <x:v>45962</x:v>
      </x:c>
      <x:c r="B253" s="2797">
        <x:v>46022</x:v>
      </x:c>
      <x:c r="C253" s="2590" t="s">
        <x:v>854</x:v>
      </x:c>
      <x:c r="D253" s="2590" t="s">
        <x:v>829</x:v>
      </x:c>
      <x:c r="E253" s="2590" t="s">
        <x:v>855</x:v>
      </x:c>
      <x:c r="F253" s="2590" t="s">
        <x:v>856</x:v>
      </x:c>
      <x:c r="G253" s="2590" t="s">
        <x:v>82</x:v>
      </x:c>
      <x:c r="H253" s="2590" t="s">
        <x:v>764</x:v>
      </x:c>
      <x:c r="I253" s="2590" t="s">
        <x:v>765</x:v>
      </x:c>
      <x:c r="J253" s="2590" t="s">
        <x:v>853</x:v>
      </x:c>
      <x:c r="K253" s="2581" t="s">
        <x:v>588</x:v>
      </x:c>
      <x:c r="L253" s="2818"/>
      <x:c r="M253" s="2818"/>
      <x:c r="N253" s="2383"/>
      <x:c r="O253" s="2394">
        <x:v>1.2</x:v>
      </x:c>
      <x:c r="P253" s="2530"/>
      <x:c r="Q253" s="2590" t="s">
        <x:v>766</x:v>
      </x:c>
      <x:c r="R253" s="2581" t="s">
        <x:v>588</x:v>
      </x:c>
      <x:c r="S253" s="2590" t="s">
        <x:v>137</x:v>
      </x:c>
      <x:c r="T253" s="2590" t="s">
        <x:v>195</x:v>
      </x:c>
      <x:c r="U253" s="2590" t="s">
        <x:v>140</x:v>
      </x:c>
      <x:c r="V253" s="2581" t="s">
        <x:v>862</x:v>
      </x:c>
      <x:c r="W253" s="861"/>
      <x:c r="X253" s="1155"/>
    </x:row>
    <x:row r="254" ht="39" customHeight="1">
      <x:c r="A254" s="2801">
        <x:v>45962</x:v>
      </x:c>
      <x:c r="B254" s="2797">
        <x:v>46022</x:v>
      </x:c>
      <x:c r="C254" s="2590" t="s">
        <x:v>854</x:v>
      </x:c>
      <x:c r="D254" s="2590" t="s">
        <x:v>829</x:v>
      </x:c>
      <x:c r="E254" s="2590" t="s">
        <x:v>855</x:v>
      </x:c>
      <x:c r="F254" s="2590" t="s">
        <x:v>856</x:v>
      </x:c>
      <x:c r="G254" s="2590" t="s">
        <x:v>82</x:v>
      </x:c>
      <x:c r="H254" s="2590" t="s">
        <x:v>764</x:v>
      </x:c>
      <x:c r="I254" s="2590" t="s">
        <x:v>765</x:v>
      </x:c>
      <x:c r="J254" s="2590" t="s">
        <x:v>852</x:v>
      </x:c>
      <x:c r="K254" s="2581" t="s">
        <x:v>581</x:v>
      </x:c>
      <x:c r="L254" s="2818"/>
      <x:c r="M254" s="2818"/>
      <x:c r="N254" s="2383"/>
      <x:c r="O254" s="2394">
        <x:v>1.2</x:v>
      </x:c>
      <x:c r="P254" s="2530"/>
      <x:c r="Q254" s="2590" t="s">
        <x:v>766</x:v>
      </x:c>
      <x:c r="R254" s="2581" t="s">
        <x:v>581</x:v>
      </x:c>
      <x:c r="S254" s="2590" t="s">
        <x:v>137</x:v>
      </x:c>
      <x:c r="T254" s="2590" t="s">
        <x:v>195</x:v>
      </x:c>
      <x:c r="U254" s="2590" t="s">
        <x:v>140</x:v>
      </x:c>
      <x:c r="V254" s="2581" t="s">
        <x:v>862</x:v>
      </x:c>
      <x:c r="W254" s="861"/>
      <x:c r="X254" s="1155"/>
    </x:row>
    <x:row r="255" ht="39" customHeight="1">
      <x:c r="A255" s="2801">
        <x:v>45962</x:v>
      </x:c>
      <x:c r="B255" s="2797">
        <x:v>46022</x:v>
      </x:c>
      <x:c r="C255" s="2590" t="s">
        <x:v>854</x:v>
      </x:c>
      <x:c r="D255" s="2590" t="s">
        <x:v>829</x:v>
      </x:c>
      <x:c r="E255" s="2590" t="s">
        <x:v>855</x:v>
      </x:c>
      <x:c r="F255" s="2590" t="s">
        <x:v>856</x:v>
      </x:c>
      <x:c r="G255" s="2590" t="s">
        <x:v>82</x:v>
      </x:c>
      <x:c r="H255" s="2590" t="s">
        <x:v>764</x:v>
      </x:c>
      <x:c r="I255" s="2590" t="s">
        <x:v>765</x:v>
      </x:c>
      <x:c r="J255" s="2590" t="s">
        <x:v>852</x:v>
      </x:c>
      <x:c r="K255" s="2581" t="s">
        <x:v>582</x:v>
      </x:c>
      <x:c r="L255" s="2818"/>
      <x:c r="M255" s="2818"/>
      <x:c r="N255" s="2383"/>
      <x:c r="O255" s="2394">
        <x:v>1.2</x:v>
      </x:c>
      <x:c r="P255" s="2530"/>
      <x:c r="Q255" s="2590" t="s">
        <x:v>766</x:v>
      </x:c>
      <x:c r="R255" s="2581" t="s">
        <x:v>582</x:v>
      </x:c>
      <x:c r="S255" s="2590" t="s">
        <x:v>137</x:v>
      </x:c>
      <x:c r="T255" s="2590" t="s">
        <x:v>195</x:v>
      </x:c>
      <x:c r="U255" s="2590" t="s">
        <x:v>140</x:v>
      </x:c>
      <x:c r="V255" s="2581" t="s">
        <x:v>862</x:v>
      </x:c>
      <x:c r="W255" s="861"/>
      <x:c r="X255" s="1155"/>
    </x:row>
    <x:row r="256" ht="39" customHeight="1">
      <x:c r="A256" s="2801">
        <x:v>45962</x:v>
      </x:c>
      <x:c r="B256" s="2797">
        <x:v>46022</x:v>
      </x:c>
      <x:c r="C256" s="2590" t="s">
        <x:v>854</x:v>
      </x:c>
      <x:c r="D256" s="2590" t="s">
        <x:v>829</x:v>
      </x:c>
      <x:c r="E256" s="2590" t="s">
        <x:v>855</x:v>
      </x:c>
      <x:c r="F256" s="2590" t="s">
        <x:v>856</x:v>
      </x:c>
      <x:c r="G256" s="2590" t="s">
        <x:v>82</x:v>
      </x:c>
      <x:c r="H256" s="2590" t="s">
        <x:v>764</x:v>
      </x:c>
      <x:c r="I256" s="2590" t="s">
        <x:v>765</x:v>
      </x:c>
      <x:c r="J256" s="2590" t="s">
        <x:v>852</x:v>
      </x:c>
      <x:c r="K256" s="2581" t="s">
        <x:v>583</x:v>
      </x:c>
      <x:c r="L256" s="2818"/>
      <x:c r="M256" s="2818"/>
      <x:c r="N256" s="2383"/>
      <x:c r="O256" s="2394">
        <x:v>1.2</x:v>
      </x:c>
      <x:c r="P256" s="2530"/>
      <x:c r="Q256" s="2590" t="s">
        <x:v>766</x:v>
      </x:c>
      <x:c r="R256" s="2581" t="s">
        <x:v>583</x:v>
      </x:c>
      <x:c r="S256" s="2590" t="s">
        <x:v>137</x:v>
      </x:c>
      <x:c r="T256" s="2590" t="s">
        <x:v>195</x:v>
      </x:c>
      <x:c r="U256" s="2590" t="s">
        <x:v>140</x:v>
      </x:c>
      <x:c r="V256" s="2581" t="s">
        <x:v>862</x:v>
      </x:c>
      <x:c r="W256" s="861"/>
      <x:c r="X256" s="1155"/>
    </x:row>
    <x:row r="257" ht="39" customHeight="1">
      <x:c r="A257" s="2801">
        <x:v>45962</x:v>
      </x:c>
      <x:c r="B257" s="2797">
        <x:v>46022</x:v>
      </x:c>
      <x:c r="C257" s="2590" t="s">
        <x:v>854</x:v>
      </x:c>
      <x:c r="D257" s="2590" t="s">
        <x:v>829</x:v>
      </x:c>
      <x:c r="E257" s="2590" t="s">
        <x:v>855</x:v>
      </x:c>
      <x:c r="F257" s="2590" t="s">
        <x:v>856</x:v>
      </x:c>
      <x:c r="G257" s="2590" t="s">
        <x:v>82</x:v>
      </x:c>
      <x:c r="H257" s="2590" t="s">
        <x:v>782</x:v>
      </x:c>
      <x:c r="I257" s="2590" t="s">
        <x:v>863</x:v>
      </x:c>
      <x:c r="J257" s="2590" t="s">
        <x:v>864</x:v>
      </x:c>
      <x:c r="K257" s="2581" t="s">
        <x:v>709</x:v>
      </x:c>
      <x:c r="L257" s="2581" t="s">
        <x:v>309</x:v>
      </x:c>
      <x:c r="M257" s="2581" t="s">
        <x:v>709</x:v>
      </x:c>
      <x:c r="N257" s="2383">
        <x:v>401</x:v>
      </x:c>
      <x:c r="O257" s="2394"/>
      <x:c r="P257" s="2530">
        <x:v>0.13967258794845</x:v>
      </x:c>
      <x:c r="Q257" s="2590" t="s">
        <x:v>865</x:v>
      </x:c>
      <x:c r="R257" s="2581" t="s">
        <x:v>709</x:v>
      </x:c>
      <x:c r="S257" s="2590" t="s">
        <x:v>137</x:v>
      </x:c>
      <x:c r="T257" s="2590" t="s">
        <x:v>195</x:v>
      </x:c>
      <x:c r="U257" s="2590" t="s">
        <x:v>140</x:v>
      </x:c>
      <x:c r="V257" s="2581" t="s">
        <x:v>866</x:v>
      </x:c>
      <x:c r="W257" s="861"/>
      <x:c r="X257" s="1155"/>
    </x:row>
    <x:row r="258" ht="39" customHeight="1">
      <x:c r="A258" s="2801">
        <x:v>45962</x:v>
      </x:c>
      <x:c r="B258" s="2797">
        <x:v>46022</x:v>
      </x:c>
      <x:c r="C258" s="2590" t="s">
        <x:v>854</x:v>
      </x:c>
      <x:c r="D258" s="2590" t="s">
        <x:v>829</x:v>
      </x:c>
      <x:c r="E258" s="2590" t="s">
        <x:v>855</x:v>
      </x:c>
      <x:c r="F258" s="2590" t="s">
        <x:v>856</x:v>
      </x:c>
      <x:c r="G258" s="2590" t="s">
        <x:v>82</x:v>
      </x:c>
      <x:c r="H258" s="2590" t="s">
        <x:v>782</x:v>
      </x:c>
      <x:c r="I258" s="2590" t="s">
        <x:v>863</x:v>
      </x:c>
      <x:c r="J258" s="2590" t="s">
        <x:v>864</x:v>
      </x:c>
      <x:c r="K258" s="2581" t="s">
        <x:v>714</x:v>
      </x:c>
      <x:c r="L258" s="2581" t="s">
        <x:v>715</x:v>
      </x:c>
      <x:c r="M258" s="2581" t="s">
        <x:v>714</x:v>
      </x:c>
      <x:c r="N258" s="2383">
        <x:v>224</x:v>
      </x:c>
      <x:c r="O258" s="2394"/>
      <x:c r="P258" s="2530">
        <x:v>7.80215952629746E-2</x:v>
      </x:c>
      <x:c r="Q258" s="2590" t="s">
        <x:v>865</x:v>
      </x:c>
      <x:c r="R258" s="2581" t="s">
        <x:v>714</x:v>
      </x:c>
      <x:c r="S258" s="2590" t="s">
        <x:v>137</x:v>
      </x:c>
      <x:c r="T258" s="2590" t="s">
        <x:v>195</x:v>
      </x:c>
      <x:c r="U258" s="2590" t="s">
        <x:v>140</x:v>
      </x:c>
      <x:c r="V258" s="2581" t="s">
        <x:v>866</x:v>
      </x:c>
      <x:c r="W258" s="861"/>
      <x:c r="X258" s="1155"/>
    </x:row>
    <x:row r="259" ht="39" customHeight="1">
      <x:c r="A259" s="2801">
        <x:v>45962</x:v>
      </x:c>
      <x:c r="B259" s="2797">
        <x:v>46022</x:v>
      </x:c>
      <x:c r="C259" s="2590" t="s">
        <x:v>854</x:v>
      </x:c>
      <x:c r="D259" s="2590" t="s">
        <x:v>829</x:v>
      </x:c>
      <x:c r="E259" s="2590" t="s">
        <x:v>855</x:v>
      </x:c>
      <x:c r="F259" s="2590" t="s">
        <x:v>856</x:v>
      </x:c>
      <x:c r="G259" s="2590" t="s">
        <x:v>82</x:v>
      </x:c>
      <x:c r="H259" s="2590" t="s">
        <x:v>782</x:v>
      </x:c>
      <x:c r="I259" s="2590" t="s">
        <x:v>863</x:v>
      </x:c>
      <x:c r="J259" s="2590" t="s">
        <x:v>864</x:v>
      </x:c>
      <x:c r="K259" s="2581" t="s">
        <x:v>716</x:v>
      </x:c>
      <x:c r="L259" s="2581" t="s">
        <x:v>309</x:v>
      </x:c>
      <x:c r="M259" s="2581" t="s">
        <x:v>716</x:v>
      </x:c>
      <x:c r="N259" s="2383">
        <x:v>195</x:v>
      </x:c>
      <x:c r="O259" s="2394"/>
      <x:c r="P259" s="2530">
        <x:v>6.7920585161964503E-2</x:v>
      </x:c>
      <x:c r="Q259" s="2590" t="s">
        <x:v>865</x:v>
      </x:c>
      <x:c r="R259" s="2581" t="s">
        <x:v>716</x:v>
      </x:c>
      <x:c r="S259" s="2590" t="s">
        <x:v>137</x:v>
      </x:c>
      <x:c r="T259" s="2590" t="s">
        <x:v>195</x:v>
      </x:c>
      <x:c r="U259" s="2590" t="s">
        <x:v>140</x:v>
      </x:c>
      <x:c r="V259" s="2581" t="s">
        <x:v>866</x:v>
      </x:c>
      <x:c r="W259" s="861"/>
      <x:c r="X259" s="1155"/>
    </x:row>
    <x:row r="260" ht="39" customHeight="1">
      <x:c r="A260" s="2801">
        <x:v>45962</x:v>
      </x:c>
      <x:c r="B260" s="2797">
        <x:v>46022</x:v>
      </x:c>
      <x:c r="C260" s="2590" t="s">
        <x:v>854</x:v>
      </x:c>
      <x:c r="D260" s="2590" t="s">
        <x:v>829</x:v>
      </x:c>
      <x:c r="E260" s="2590" t="s">
        <x:v>855</x:v>
      </x:c>
      <x:c r="F260" s="2590" t="s">
        <x:v>856</x:v>
      </x:c>
      <x:c r="G260" s="2590" t="s">
        <x:v>82</x:v>
      </x:c>
      <x:c r="H260" s="2590" t="s">
        <x:v>782</x:v>
      </x:c>
      <x:c r="I260" s="2590" t="s">
        <x:v>863</x:v>
      </x:c>
      <x:c r="J260" s="2590" t="s">
        <x:v>864</x:v>
      </x:c>
      <x:c r="K260" s="2581" t="s">
        <x:v>234</x:v>
      </x:c>
      <x:c r="L260" s="2581" t="s">
        <x:v>309</x:v>
      </x:c>
      <x:c r="M260" s="2581" t="s">
        <x:v>234</x:v>
      </x:c>
      <x:c r="N260" s="2383">
        <x:v>157</x:v>
      </x:c>
      <x:c r="O260" s="2394"/>
      <x:c r="P260" s="2530">
        <x:v>5.4684778822709897E-2</x:v>
      </x:c>
      <x:c r="Q260" s="2590" t="s">
        <x:v>865</x:v>
      </x:c>
      <x:c r="R260" s="2581" t="s">
        <x:v>234</x:v>
      </x:c>
      <x:c r="S260" s="2590" t="s">
        <x:v>137</x:v>
      </x:c>
      <x:c r="T260" s="2590" t="s">
        <x:v>195</x:v>
      </x:c>
      <x:c r="U260" s="2590" t="s">
        <x:v>140</x:v>
      </x:c>
      <x:c r="V260" s="2581" t="s">
        <x:v>866</x:v>
      </x:c>
      <x:c r="W260" s="861"/>
      <x:c r="X260" s="1155"/>
    </x:row>
    <x:row r="261" ht="39" customHeight="1">
      <x:c r="A261" s="2801">
        <x:v>45962</x:v>
      </x:c>
      <x:c r="B261" s="2797">
        <x:v>46022</x:v>
      </x:c>
      <x:c r="C261" s="2590" t="s">
        <x:v>854</x:v>
      </x:c>
      <x:c r="D261" s="2590" t="s">
        <x:v>829</x:v>
      </x:c>
      <x:c r="E261" s="2590" t="s">
        <x:v>855</x:v>
      </x:c>
      <x:c r="F261" s="2590" t="s">
        <x:v>856</x:v>
      </x:c>
      <x:c r="G261" s="2590" t="s">
        <x:v>82</x:v>
      </x:c>
      <x:c r="H261" s="2590" t="s">
        <x:v>782</x:v>
      </x:c>
      <x:c r="I261" s="2590" t="s">
        <x:v>863</x:v>
      </x:c>
      <x:c r="J261" s="2590" t="s">
        <x:v>864</x:v>
      </x:c>
      <x:c r="K261" s="2581" t="s">
        <x:v>721</x:v>
      </x:c>
      <x:c r="L261" s="2581" t="s">
        <x:v>309</x:v>
      </x:c>
      <x:c r="M261" s="2581" t="s">
        <x:v>721</x:v>
      </x:c>
      <x:c r="N261" s="2383">
        <x:v>132</x:v>
      </x:c>
      <x:c r="O261" s="2394"/>
      <x:c r="P261" s="2530">
        <x:v>4.5977011494252901E-2</x:v>
      </x:c>
      <x:c r="Q261" s="2590" t="s">
        <x:v>865</x:v>
      </x:c>
      <x:c r="R261" s="2581" t="s">
        <x:v>721</x:v>
      </x:c>
      <x:c r="S261" s="2590" t="s">
        <x:v>137</x:v>
      </x:c>
      <x:c r="T261" s="2590" t="s">
        <x:v>195</x:v>
      </x:c>
      <x:c r="U261" s="2590" t="s">
        <x:v>140</x:v>
      </x:c>
      <x:c r="V261" s="2581" t="s">
        <x:v>866</x:v>
      </x:c>
      <x:c r="W261" s="861"/>
      <x:c r="X261" s="1155"/>
    </x:row>
    <x:row r="262" ht="39" customHeight="1">
      <x:c r="A262" s="2801">
        <x:v>45962</x:v>
      </x:c>
      <x:c r="B262" s="2797">
        <x:v>46022</x:v>
      </x:c>
      <x:c r="C262" s="2590" t="s">
        <x:v>854</x:v>
      </x:c>
      <x:c r="D262" s="2590" t="s">
        <x:v>829</x:v>
      </x:c>
      <x:c r="E262" s="2590" t="s">
        <x:v>855</x:v>
      </x:c>
      <x:c r="F262" s="2590" t="s">
        <x:v>856</x:v>
      </x:c>
      <x:c r="G262" s="2590" t="s">
        <x:v>82</x:v>
      </x:c>
      <x:c r="H262" s="2590" t="s">
        <x:v>782</x:v>
      </x:c>
      <x:c r="I262" s="2590" t="s">
        <x:v>863</x:v>
      </x:c>
      <x:c r="J262" s="2590" t="s">
        <x:v>864</x:v>
      </x:c>
      <x:c r="K262" s="2581" t="s">
        <x:v>722</x:v>
      </x:c>
      <x:c r="L262" s="2581" t="s">
        <x:v>723</x:v>
      </x:c>
      <x:c r="M262" s="2581" t="s">
        <x:v>722</x:v>
      </x:c>
      <x:c r="N262" s="2383">
        <x:v>123</x:v>
      </x:c>
      <x:c r="O262" s="2394"/>
      <x:c r="P262" s="2530">
        <x:v>4.2842215256008398E-2</x:v>
      </x:c>
      <x:c r="Q262" s="2590" t="s">
        <x:v>865</x:v>
      </x:c>
      <x:c r="R262" s="2581" t="s">
        <x:v>722</x:v>
      </x:c>
      <x:c r="S262" s="2590" t="s">
        <x:v>137</x:v>
      </x:c>
      <x:c r="T262" s="2590" t="s">
        <x:v>195</x:v>
      </x:c>
      <x:c r="U262" s="2590" t="s">
        <x:v>140</x:v>
      </x:c>
      <x:c r="V262" s="2581" t="s">
        <x:v>866</x:v>
      </x:c>
      <x:c r="W262" s="861"/>
      <x:c r="X262" s="1155"/>
    </x:row>
    <x:row r="263" ht="39" customHeight="1">
      <x:c r="A263" s="2801">
        <x:v>45962</x:v>
      </x:c>
      <x:c r="B263" s="2797">
        <x:v>46022</x:v>
      </x:c>
      <x:c r="C263" s="2590" t="s">
        <x:v>854</x:v>
      </x:c>
      <x:c r="D263" s="2590" t="s">
        <x:v>829</x:v>
      </x:c>
      <x:c r="E263" s="2590" t="s">
        <x:v>855</x:v>
      </x:c>
      <x:c r="F263" s="2590" t="s">
        <x:v>856</x:v>
      </x:c>
      <x:c r="G263" s="2590" t="s">
        <x:v>82</x:v>
      </x:c>
      <x:c r="H263" s="2590" t="s">
        <x:v>782</x:v>
      </x:c>
      <x:c r="I263" s="2590" t="s">
        <x:v>863</x:v>
      </x:c>
      <x:c r="J263" s="2590" t="s">
        <x:v>864</x:v>
      </x:c>
      <x:c r="K263" s="2581" t="s">
        <x:v>729</x:v>
      </x:c>
      <x:c r="L263" s="2581" t="s">
        <x:v>309</x:v>
      </x:c>
      <x:c r="M263" s="2581" t="s">
        <x:v>729</x:v>
      </x:c>
      <x:c r="N263" s="2383">
        <x:v>110</x:v>
      </x:c>
      <x:c r="O263" s="2394"/>
      <x:c r="P263" s="2530">
        <x:v>3.8314176245210697E-2</x:v>
      </x:c>
      <x:c r="Q263" s="2590" t="s">
        <x:v>865</x:v>
      </x:c>
      <x:c r="R263" s="2581" t="s">
        <x:v>729</x:v>
      </x:c>
      <x:c r="S263" s="2590" t="s">
        <x:v>137</x:v>
      </x:c>
      <x:c r="T263" s="2590" t="s">
        <x:v>195</x:v>
      </x:c>
      <x:c r="U263" s="2590" t="s">
        <x:v>140</x:v>
      </x:c>
      <x:c r="V263" s="2581" t="s">
        <x:v>866</x:v>
      </x:c>
      <x:c r="W263" s="861"/>
      <x:c r="X263" s="1155"/>
    </x:row>
    <x:row r="264" ht="39" customHeight="1">
      <x:c r="A264" s="2801">
        <x:v>45962</x:v>
      </x:c>
      <x:c r="B264" s="2797">
        <x:v>46022</x:v>
      </x:c>
      <x:c r="C264" s="2590" t="s">
        <x:v>854</x:v>
      </x:c>
      <x:c r="D264" s="2590" t="s">
        <x:v>829</x:v>
      </x:c>
      <x:c r="E264" s="2590" t="s">
        <x:v>855</x:v>
      </x:c>
      <x:c r="F264" s="2590" t="s">
        <x:v>856</x:v>
      </x:c>
      <x:c r="G264" s="2590" t="s">
        <x:v>82</x:v>
      </x:c>
      <x:c r="H264" s="2590" t="s">
        <x:v>782</x:v>
      </x:c>
      <x:c r="I264" s="2590" t="s">
        <x:v>863</x:v>
      </x:c>
      <x:c r="J264" s="2590" t="s">
        <x:v>864</x:v>
      </x:c>
      <x:c r="K264" s="2581" t="s">
        <x:v>727</x:v>
      </x:c>
      <x:c r="L264" s="2581" t="s">
        <x:v>309</x:v>
      </x:c>
      <x:c r="M264" s="2581" t="s">
        <x:v>727</x:v>
      </x:c>
      <x:c r="N264" s="2383">
        <x:v>106</x:v>
      </x:c>
      <x:c r="O264" s="2394"/>
      <x:c r="P264" s="2530">
        <x:v>3.6920933472657597E-2</x:v>
      </x:c>
      <x:c r="Q264" s="2590" t="s">
        <x:v>865</x:v>
      </x:c>
      <x:c r="R264" s="2581" t="s">
        <x:v>727</x:v>
      </x:c>
      <x:c r="S264" s="2590" t="s">
        <x:v>137</x:v>
      </x:c>
      <x:c r="T264" s="2590" t="s">
        <x:v>195</x:v>
      </x:c>
      <x:c r="U264" s="2590" t="s">
        <x:v>140</x:v>
      </x:c>
      <x:c r="V264" s="2581" t="s">
        <x:v>866</x:v>
      </x:c>
      <x:c r="W264" s="861"/>
      <x:c r="X264" s="1155"/>
    </x:row>
    <x:row r="265" ht="39" customHeight="1">
      <x:c r="A265" s="2801">
        <x:v>45962</x:v>
      </x:c>
      <x:c r="B265" s="2797">
        <x:v>46022</x:v>
      </x:c>
      <x:c r="C265" s="2590" t="s">
        <x:v>854</x:v>
      </x:c>
      <x:c r="D265" s="2590" t="s">
        <x:v>829</x:v>
      </x:c>
      <x:c r="E265" s="2590" t="s">
        <x:v>855</x:v>
      </x:c>
      <x:c r="F265" s="2590" t="s">
        <x:v>856</x:v>
      </x:c>
      <x:c r="G265" s="2590" t="s">
        <x:v>82</x:v>
      </x:c>
      <x:c r="H265" s="2590" t="s">
        <x:v>782</x:v>
      </x:c>
      <x:c r="I265" s="2590" t="s">
        <x:v>863</x:v>
      </x:c>
      <x:c r="J265" s="2590" t="s">
        <x:v>864</x:v>
      </x:c>
      <x:c r="K265" s="2581" t="s">
        <x:v>710</x:v>
      </x:c>
      <x:c r="L265" s="2581" t="s">
        <x:v>711</x:v>
      </x:c>
      <x:c r="M265" s="2581" t="s">
        <x:v>710</x:v>
      </x:c>
      <x:c r="N265" s="2383">
        <x:v>100</x:v>
      </x:c>
      <x:c r="O265" s="2394"/>
      <x:c r="P265" s="2530">
        <x:v>3.48310693138279E-2</x:v>
      </x:c>
      <x:c r="Q265" s="2590" t="s">
        <x:v>865</x:v>
      </x:c>
      <x:c r="R265" s="2581" t="s">
        <x:v>710</x:v>
      </x:c>
      <x:c r="S265" s="2590" t="s">
        <x:v>137</x:v>
      </x:c>
      <x:c r="T265" s="2590" t="s">
        <x:v>195</x:v>
      </x:c>
      <x:c r="U265" s="2590" t="s">
        <x:v>140</x:v>
      </x:c>
      <x:c r="V265" s="2581" t="s">
        <x:v>866</x:v>
      </x:c>
      <x:c r="W265" s="861"/>
      <x:c r="X265" s="1155"/>
    </x:row>
    <x:row r="266" ht="39" customHeight="1">
      <x:c r="A266" s="2801">
        <x:v>45962</x:v>
      </x:c>
      <x:c r="B266" s="2797">
        <x:v>46022</x:v>
      </x:c>
      <x:c r="C266" s="2590" t="s">
        <x:v>854</x:v>
      </x:c>
      <x:c r="D266" s="2590" t="s">
        <x:v>829</x:v>
      </x:c>
      <x:c r="E266" s="2590" t="s">
        <x:v>855</x:v>
      </x:c>
      <x:c r="F266" s="2590" t="s">
        <x:v>856</x:v>
      </x:c>
      <x:c r="G266" s="2590" t="s">
        <x:v>82</x:v>
      </x:c>
      <x:c r="H266" s="2590" t="s">
        <x:v>782</x:v>
      </x:c>
      <x:c r="I266" s="2590" t="s">
        <x:v>863</x:v>
      </x:c>
      <x:c r="J266" s="2590" t="s">
        <x:v>864</x:v>
      </x:c>
      <x:c r="K266" s="2581" t="s">
        <x:v>701</x:v>
      </x:c>
      <x:c r="L266" s="2581" t="s">
        <x:v>711</x:v>
      </x:c>
      <x:c r="M266" s="2581" t="s">
        <x:v>701</x:v>
      </x:c>
      <x:c r="N266" s="2383">
        <x:v>99</x:v>
      </x:c>
      <x:c r="O266" s="2394"/>
      <x:c r="P266" s="2530">
        <x:v>3.4482758620689703E-2</x:v>
      </x:c>
      <x:c r="Q266" s="2590" t="s">
        <x:v>865</x:v>
      </x:c>
      <x:c r="R266" s="2581" t="s">
        <x:v>701</x:v>
      </x:c>
      <x:c r="S266" s="2590" t="s">
        <x:v>137</x:v>
      </x:c>
      <x:c r="T266" s="2590" t="s">
        <x:v>195</x:v>
      </x:c>
      <x:c r="U266" s="2590" t="s">
        <x:v>140</x:v>
      </x:c>
      <x:c r="V266" s="2581" t="s">
        <x:v>866</x:v>
      </x:c>
      <x:c r="W266" s="861"/>
      <x:c r="X266" s="1155"/>
    </x:row>
    <x:row r="267" ht="39" customHeight="1">
      <x:c r="A267" s="2801">
        <x:v>45962</x:v>
      </x:c>
      <x:c r="B267" s="2797">
        <x:v>46022</x:v>
      </x:c>
      <x:c r="C267" s="2590" t="s">
        <x:v>854</x:v>
      </x:c>
      <x:c r="D267" s="2590" t="s">
        <x:v>829</x:v>
      </x:c>
      <x:c r="E267" s="2590" t="s">
        <x:v>855</x:v>
      </x:c>
      <x:c r="F267" s="2590" t="s">
        <x:v>856</x:v>
      </x:c>
      <x:c r="G267" s="2590" t="s">
        <x:v>82</x:v>
      </x:c>
      <x:c r="H267" s="2590" t="s">
        <x:v>782</x:v>
      </x:c>
      <x:c r="I267" s="2590" t="s">
        <x:v>863</x:v>
      </x:c>
      <x:c r="J267" s="2590" t="s">
        <x:v>864</x:v>
      </x:c>
      <x:c r="K267" s="2581" t="s">
        <x:v>730</x:v>
      </x:c>
      <x:c r="L267" s="2581" t="s">
        <x:v>309</x:v>
      </x:c>
      <x:c r="M267" s="2581" t="s">
        <x:v>730</x:v>
      </x:c>
      <x:c r="N267" s="2383">
        <x:v>93</x:v>
      </x:c>
      <x:c r="O267" s="2394"/>
      <x:c r="P267" s="2530">
        <x:v>3.239289446186E-2</x:v>
      </x:c>
      <x:c r="Q267" s="2590" t="s">
        <x:v>865</x:v>
      </x:c>
      <x:c r="R267" s="2581" t="s">
        <x:v>730</x:v>
      </x:c>
      <x:c r="S267" s="2590" t="s">
        <x:v>137</x:v>
      </x:c>
      <x:c r="T267" s="2590" t="s">
        <x:v>195</x:v>
      </x:c>
      <x:c r="U267" s="2590" t="s">
        <x:v>140</x:v>
      </x:c>
      <x:c r="V267" s="2581" t="s">
        <x:v>866</x:v>
      </x:c>
      <x:c r="W267" s="861"/>
      <x:c r="X267" s="1155"/>
    </x:row>
    <x:row r="268" ht="39" customHeight="1">
      <x:c r="A268" s="2801">
        <x:v>45962</x:v>
      </x:c>
      <x:c r="B268" s="2797">
        <x:v>46022</x:v>
      </x:c>
      <x:c r="C268" s="2590" t="s">
        <x:v>854</x:v>
      </x:c>
      <x:c r="D268" s="2590" t="s">
        <x:v>829</x:v>
      </x:c>
      <x:c r="E268" s="2590" t="s">
        <x:v>855</x:v>
      </x:c>
      <x:c r="F268" s="2590" t="s">
        <x:v>856</x:v>
      </x:c>
      <x:c r="G268" s="2590" t="s">
        <x:v>82</x:v>
      </x:c>
      <x:c r="H268" s="2590" t="s">
        <x:v>782</x:v>
      </x:c>
      <x:c r="I268" s="2590" t="s">
        <x:v>863</x:v>
      </x:c>
      <x:c r="J268" s="2590" t="s">
        <x:v>864</x:v>
      </x:c>
      <x:c r="K268" s="2581" t="s">
        <x:v>732</x:v>
      </x:c>
      <x:c r="L268" s="2581" t="s">
        <x:v>726</x:v>
      </x:c>
      <x:c r="M268" s="2581" t="s">
        <x:v>732</x:v>
      </x:c>
      <x:c r="N268" s="2383">
        <x:v>84</x:v>
      </x:c>
      <x:c r="O268" s="2394"/>
      <x:c r="P268" s="2530">
        <x:v>2.9258098223615501E-2</x:v>
      </x:c>
      <x:c r="Q268" s="2590" t="s">
        <x:v>865</x:v>
      </x:c>
      <x:c r="R268" s="2581" t="s">
        <x:v>732</x:v>
      </x:c>
      <x:c r="S268" s="2590" t="s">
        <x:v>137</x:v>
      </x:c>
      <x:c r="T268" s="2590" t="s">
        <x:v>195</x:v>
      </x:c>
      <x:c r="U268" s="2590" t="s">
        <x:v>140</x:v>
      </x:c>
      <x:c r="V268" s="2581" t="s">
        <x:v>866</x:v>
      </x:c>
      <x:c r="W268" s="861"/>
      <x:c r="X268" s="1155"/>
    </x:row>
    <x:row r="269" ht="39" customHeight="1">
      <x:c r="A269" s="2801">
        <x:v>45962</x:v>
      </x:c>
      <x:c r="B269" s="2797">
        <x:v>46022</x:v>
      </x:c>
      <x:c r="C269" s="2590" t="s">
        <x:v>854</x:v>
      </x:c>
      <x:c r="D269" s="2590" t="s">
        <x:v>829</x:v>
      </x:c>
      <x:c r="E269" s="2590" t="s">
        <x:v>855</x:v>
      </x:c>
      <x:c r="F269" s="2590" t="s">
        <x:v>856</x:v>
      </x:c>
      <x:c r="G269" s="2590" t="s">
        <x:v>82</x:v>
      </x:c>
      <x:c r="H269" s="2590" t="s">
        <x:v>782</x:v>
      </x:c>
      <x:c r="I269" s="2590" t="s">
        <x:v>863</x:v>
      </x:c>
      <x:c r="J269" s="2590" t="s">
        <x:v>864</x:v>
      </x:c>
      <x:c r="K269" s="2581" t="s">
        <x:v>712</x:v>
      </x:c>
      <x:c r="L269" s="2581" t="s">
        <x:v>713</x:v>
      </x:c>
      <x:c r="M269" s="2581" t="s">
        <x:v>712</x:v>
      </x:c>
      <x:c r="N269" s="2383">
        <x:v>80</x:v>
      </x:c>
      <x:c r="O269" s="2394"/>
      <x:c r="P269" s="2530">
        <x:v>2.7864855451062299E-2</x:v>
      </x:c>
      <x:c r="Q269" s="2590" t="s">
        <x:v>865</x:v>
      </x:c>
      <x:c r="R269" s="2581" t="s">
        <x:v>712</x:v>
      </x:c>
      <x:c r="S269" s="2590" t="s">
        <x:v>137</x:v>
      </x:c>
      <x:c r="T269" s="2590" t="s">
        <x:v>195</x:v>
      </x:c>
      <x:c r="U269" s="2590" t="s">
        <x:v>140</x:v>
      </x:c>
      <x:c r="V269" s="2581" t="s">
        <x:v>866</x:v>
      </x:c>
      <x:c r="W269" s="861"/>
      <x:c r="X269" s="1155"/>
    </x:row>
    <x:row r="270" ht="39" customHeight="1">
      <x:c r="A270" s="2801">
        <x:v>45962</x:v>
      </x:c>
      <x:c r="B270" s="2797">
        <x:v>46022</x:v>
      </x:c>
      <x:c r="C270" s="2590" t="s">
        <x:v>854</x:v>
      </x:c>
      <x:c r="D270" s="2590" t="s">
        <x:v>829</x:v>
      </x:c>
      <x:c r="E270" s="2590" t="s">
        <x:v>855</x:v>
      </x:c>
      <x:c r="F270" s="2590" t="s">
        <x:v>856</x:v>
      </x:c>
      <x:c r="G270" s="2590" t="s">
        <x:v>82</x:v>
      </x:c>
      <x:c r="H270" s="2590" t="s">
        <x:v>782</x:v>
      </x:c>
      <x:c r="I270" s="2590" t="s">
        <x:v>863</x:v>
      </x:c>
      <x:c r="J270" s="2590" t="s">
        <x:v>864</x:v>
      </x:c>
      <x:c r="K270" s="2581" t="s">
        <x:v>734</x:v>
      </x:c>
      <x:c r="L270" s="2581" t="s">
        <x:v>309</x:v>
      </x:c>
      <x:c r="M270" s="2581" t="s">
        <x:v>734</x:v>
      </x:c>
      <x:c r="N270" s="2383">
        <x:v>66</x:v>
      </x:c>
      <x:c r="O270" s="2394"/>
      <x:c r="P270" s="2530">
        <x:v>2.2988505747126398E-2</x:v>
      </x:c>
      <x:c r="Q270" s="2590" t="s">
        <x:v>865</x:v>
      </x:c>
      <x:c r="R270" s="2581" t="s">
        <x:v>734</x:v>
      </x:c>
      <x:c r="S270" s="2590" t="s">
        <x:v>137</x:v>
      </x:c>
      <x:c r="T270" s="2590" t="s">
        <x:v>195</x:v>
      </x:c>
      <x:c r="U270" s="2590" t="s">
        <x:v>140</x:v>
      </x:c>
      <x:c r="V270" s="2581" t="s">
        <x:v>866</x:v>
      </x:c>
      <x:c r="W270" s="861"/>
      <x:c r="X270" s="1155"/>
    </x:row>
    <x:row r="271" ht="39" customHeight="1">
      <x:c r="A271" s="2801">
        <x:v>45962</x:v>
      </x:c>
      <x:c r="B271" s="2797">
        <x:v>46022</x:v>
      </x:c>
      <x:c r="C271" s="2590" t="s">
        <x:v>854</x:v>
      </x:c>
      <x:c r="D271" s="2590" t="s">
        <x:v>829</x:v>
      </x:c>
      <x:c r="E271" s="2590" t="s">
        <x:v>855</x:v>
      </x:c>
      <x:c r="F271" s="2590" t="s">
        <x:v>856</x:v>
      </x:c>
      <x:c r="G271" s="2590" t="s">
        <x:v>82</x:v>
      </x:c>
      <x:c r="H271" s="2590" t="s">
        <x:v>782</x:v>
      </x:c>
      <x:c r="I271" s="2590" t="s">
        <x:v>863</x:v>
      </x:c>
      <x:c r="J271" s="2590" t="s">
        <x:v>864</x:v>
      </x:c>
      <x:c r="K271" s="2581" t="s">
        <x:v>717</x:v>
      </x:c>
      <x:c r="L271" s="2581" t="s">
        <x:v>718</x:v>
      </x:c>
      <x:c r="M271" s="2581" t="s">
        <x:v>717</x:v>
      </x:c>
      <x:c r="N271" s="2383">
        <x:v>62</x:v>
      </x:c>
      <x:c r="O271" s="2394"/>
      <x:c r="P271" s="2530">
        <x:v>2.1595262974573301E-2</x:v>
      </x:c>
      <x:c r="Q271" s="2590" t="s">
        <x:v>865</x:v>
      </x:c>
      <x:c r="R271" s="2581" t="s">
        <x:v>717</x:v>
      </x:c>
      <x:c r="S271" s="2590" t="s">
        <x:v>137</x:v>
      </x:c>
      <x:c r="T271" s="2590" t="s">
        <x:v>195</x:v>
      </x:c>
      <x:c r="U271" s="2590" t="s">
        <x:v>140</x:v>
      </x:c>
      <x:c r="V271" s="2581" t="s">
        <x:v>866</x:v>
      </x:c>
      <x:c r="W271" s="861"/>
      <x:c r="X271" s="1155"/>
    </x:row>
    <x:row r="272" ht="39" customHeight="1">
      <x:c r="A272" s="2801">
        <x:v>45962</x:v>
      </x:c>
      <x:c r="B272" s="2797">
        <x:v>46022</x:v>
      </x:c>
      <x:c r="C272" s="2590" t="s">
        <x:v>854</x:v>
      </x:c>
      <x:c r="D272" s="2590" t="s">
        <x:v>829</x:v>
      </x:c>
      <x:c r="E272" s="2590" t="s">
        <x:v>855</x:v>
      </x:c>
      <x:c r="F272" s="2590" t="s">
        <x:v>856</x:v>
      </x:c>
      <x:c r="G272" s="2590" t="s">
        <x:v>82</x:v>
      </x:c>
      <x:c r="H272" s="2590" t="s">
        <x:v>782</x:v>
      </x:c>
      <x:c r="I272" s="2590" t="s">
        <x:v>863</x:v>
      </x:c>
      <x:c r="J272" s="2590" t="s">
        <x:v>864</x:v>
      </x:c>
      <x:c r="K272" s="2581" t="s">
        <x:v>735</x:v>
      </x:c>
      <x:c r="L272" s="2581" t="s">
        <x:v>309</x:v>
      </x:c>
      <x:c r="M272" s="2581" t="s">
        <x:v>735</x:v>
      </x:c>
      <x:c r="N272" s="2383">
        <x:v>58</x:v>
      </x:c>
      <x:c r="O272" s="2394"/>
      <x:c r="P272" s="2530">
        <x:v>2.02020202020202E-2</x:v>
      </x:c>
      <x:c r="Q272" s="2590" t="s">
        <x:v>865</x:v>
      </x:c>
      <x:c r="R272" s="2581" t="s">
        <x:v>735</x:v>
      </x:c>
      <x:c r="S272" s="2590" t="s">
        <x:v>137</x:v>
      </x:c>
      <x:c r="T272" s="2590" t="s">
        <x:v>195</x:v>
      </x:c>
      <x:c r="U272" s="2590" t="s">
        <x:v>140</x:v>
      </x:c>
      <x:c r="V272" s="2581" t="s">
        <x:v>866</x:v>
      </x:c>
      <x:c r="W272" s="861"/>
      <x:c r="X272" s="1155"/>
    </x:row>
    <x:row r="273" ht="39" customHeight="1">
      <x:c r="A273" s="2801">
        <x:v>45962</x:v>
      </x:c>
      <x:c r="B273" s="2797">
        <x:v>46022</x:v>
      </x:c>
      <x:c r="C273" s="2590" t="s">
        <x:v>854</x:v>
      </x:c>
      <x:c r="D273" s="2590" t="s">
        <x:v>829</x:v>
      </x:c>
      <x:c r="E273" s="2590" t="s">
        <x:v>855</x:v>
      </x:c>
      <x:c r="F273" s="2590" t="s">
        <x:v>856</x:v>
      </x:c>
      <x:c r="G273" s="2590" t="s">
        <x:v>82</x:v>
      </x:c>
      <x:c r="H273" s="2590" t="s">
        <x:v>782</x:v>
      </x:c>
      <x:c r="I273" s="2590" t="s">
        <x:v>863</x:v>
      </x:c>
      <x:c r="J273" s="2590" t="s">
        <x:v>864</x:v>
      </x:c>
      <x:c r="K273" s="2581" t="s">
        <x:v>720</x:v>
      </x:c>
      <x:c r="L273" s="2581" t="s">
        <x:v>711</x:v>
      </x:c>
      <x:c r="M273" s="2581" t="s">
        <x:v>720</x:v>
      </x:c>
      <x:c r="N273" s="2383">
        <x:v>56</x:v>
      </x:c>
      <x:c r="O273" s="2394"/>
      <x:c r="P273" s="2530">
        <x:v>1.9505398815743601E-2</x:v>
      </x:c>
      <x:c r="Q273" s="2590" t="s">
        <x:v>865</x:v>
      </x:c>
      <x:c r="R273" s="2581" t="s">
        <x:v>720</x:v>
      </x:c>
      <x:c r="S273" s="2590" t="s">
        <x:v>137</x:v>
      </x:c>
      <x:c r="T273" s="2590" t="s">
        <x:v>195</x:v>
      </x:c>
      <x:c r="U273" s="2590" t="s">
        <x:v>140</x:v>
      </x:c>
      <x:c r="V273" s="2581" t="s">
        <x:v>866</x:v>
      </x:c>
      <x:c r="W273" s="861"/>
      <x:c r="X273" s="1155"/>
    </x:row>
    <x:row r="274" ht="39" customHeight="1">
      <x:c r="A274" s="2801">
        <x:v>45962</x:v>
      </x:c>
      <x:c r="B274" s="2797">
        <x:v>46022</x:v>
      </x:c>
      <x:c r="C274" s="2590" t="s">
        <x:v>854</x:v>
      </x:c>
      <x:c r="D274" s="2590" t="s">
        <x:v>829</x:v>
      </x:c>
      <x:c r="E274" s="2590" t="s">
        <x:v>855</x:v>
      </x:c>
      <x:c r="F274" s="2590" t="s">
        <x:v>856</x:v>
      </x:c>
      <x:c r="G274" s="2590" t="s">
        <x:v>82</x:v>
      </x:c>
      <x:c r="H274" s="2590" t="s">
        <x:v>782</x:v>
      </x:c>
      <x:c r="I274" s="2590" t="s">
        <x:v>863</x:v>
      </x:c>
      <x:c r="J274" s="2590" t="s">
        <x:v>864</x:v>
      </x:c>
      <x:c r="K274" s="2581" t="s">
        <x:v>196</x:v>
      </x:c>
      <x:c r="L274" s="2581" t="s">
        <x:v>731</x:v>
      </x:c>
      <x:c r="M274" s="2581" t="s">
        <x:v>196</x:v>
      </x:c>
      <x:c r="N274" s="2383">
        <x:v>51</x:v>
      </x:c>
      <x:c r="O274" s="2394"/>
      <x:c r="P274" s="2530">
        <x:v>1.7763845350052199E-2</x:v>
      </x:c>
      <x:c r="Q274" s="2590" t="s">
        <x:v>865</x:v>
      </x:c>
      <x:c r="R274" s="2581" t="s">
        <x:v>196</x:v>
      </x:c>
      <x:c r="S274" s="2590" t="s">
        <x:v>137</x:v>
      </x:c>
      <x:c r="T274" s="2590" t="s">
        <x:v>195</x:v>
      </x:c>
      <x:c r="U274" s="2590" t="s">
        <x:v>140</x:v>
      </x:c>
      <x:c r="V274" s="2581" t="s">
        <x:v>866</x:v>
      </x:c>
      <x:c r="W274" s="861"/>
      <x:c r="X274" s="1155"/>
    </x:row>
    <x:row r="275" ht="39" customHeight="1">
      <x:c r="A275" s="2801">
        <x:v>45962</x:v>
      </x:c>
      <x:c r="B275" s="2797">
        <x:v>46022</x:v>
      </x:c>
      <x:c r="C275" s="2590" t="s">
        <x:v>854</x:v>
      </x:c>
      <x:c r="D275" s="2590" t="s">
        <x:v>829</x:v>
      </x:c>
      <x:c r="E275" s="2590" t="s">
        <x:v>855</x:v>
      </x:c>
      <x:c r="F275" s="2590" t="s">
        <x:v>856</x:v>
      </x:c>
      <x:c r="G275" s="2590" t="s">
        <x:v>82</x:v>
      </x:c>
      <x:c r="H275" s="2590" t="s">
        <x:v>782</x:v>
      </x:c>
      <x:c r="I275" s="2590" t="s">
        <x:v>863</x:v>
      </x:c>
      <x:c r="J275" s="2590" t="s">
        <x:v>864</x:v>
      </x:c>
      <x:c r="K275" s="2581" t="s">
        <x:v>736</x:v>
      </x:c>
      <x:c r="L275" s="2581" t="s">
        <x:v>737</x:v>
      </x:c>
      <x:c r="M275" s="2581" t="s">
        <x:v>736</x:v>
      </x:c>
      <x:c r="N275" s="2383">
        <x:v>50</x:v>
      </x:c>
      <x:c r="O275" s="2394"/>
      <x:c r="P275" s="2530">
        <x:v>1.7415534656913999E-2</x:v>
      </x:c>
      <x:c r="Q275" s="2590" t="s">
        <x:v>865</x:v>
      </x:c>
      <x:c r="R275" s="2581" t="s">
        <x:v>736</x:v>
      </x:c>
      <x:c r="S275" s="2590" t="s">
        <x:v>137</x:v>
      </x:c>
      <x:c r="T275" s="2590" t="s">
        <x:v>195</x:v>
      </x:c>
      <x:c r="U275" s="2590" t="s">
        <x:v>140</x:v>
      </x:c>
      <x:c r="V275" s="2581" t="s">
        <x:v>866</x:v>
      </x:c>
      <x:c r="W275" s="861"/>
      <x:c r="X275" s="1155"/>
    </x:row>
    <x:row r="276" ht="39" customHeight="1">
      <x:c r="A276" s="2801">
        <x:v>45962</x:v>
      </x:c>
      <x:c r="B276" s="2797">
        <x:v>46022</x:v>
      </x:c>
      <x:c r="C276" s="2590" t="s">
        <x:v>854</x:v>
      </x:c>
      <x:c r="D276" s="2590" t="s">
        <x:v>829</x:v>
      </x:c>
      <x:c r="E276" s="2590" t="s">
        <x:v>855</x:v>
      </x:c>
      <x:c r="F276" s="2590" t="s">
        <x:v>856</x:v>
      </x:c>
      <x:c r="G276" s="2590" t="s">
        <x:v>82</x:v>
      </x:c>
      <x:c r="H276" s="2590" t="s">
        <x:v>782</x:v>
      </x:c>
      <x:c r="I276" s="2590" t="s">
        <x:v>863</x:v>
      </x:c>
      <x:c r="J276" s="2590" t="s">
        <x:v>864</x:v>
      </x:c>
      <x:c r="K276" s="2581" t="s">
        <x:v>725</x:v>
      </x:c>
      <x:c r="L276" s="2581" t="s">
        <x:v>726</x:v>
      </x:c>
      <x:c r="M276" s="2581" t="s">
        <x:v>725</x:v>
      </x:c>
      <x:c r="N276" s="2383">
        <x:v>50</x:v>
      </x:c>
      <x:c r="O276" s="2394"/>
      <x:c r="P276" s="2530">
        <x:v>1.7415534656913999E-2</x:v>
      </x:c>
      <x:c r="Q276" s="2590" t="s">
        <x:v>865</x:v>
      </x:c>
      <x:c r="R276" s="2581" t="s">
        <x:v>725</x:v>
      </x:c>
      <x:c r="S276" s="2590" t="s">
        <x:v>137</x:v>
      </x:c>
      <x:c r="T276" s="2590" t="s">
        <x:v>195</x:v>
      </x:c>
      <x:c r="U276" s="2590" t="s">
        <x:v>140</x:v>
      </x:c>
      <x:c r="V276" s="2581" t="s">
        <x:v>866</x:v>
      </x:c>
      <x:c r="W276" s="861"/>
      <x:c r="X276" s="1155"/>
    </x:row>
    <x:row r="277" ht="39" customHeight="1">
      <x:c r="A277" s="2801">
        <x:v>45962</x:v>
      </x:c>
      <x:c r="B277" s="2797">
        <x:v>46022</x:v>
      </x:c>
      <x:c r="C277" s="2590" t="s">
        <x:v>854</x:v>
      </x:c>
      <x:c r="D277" s="2590" t="s">
        <x:v>829</x:v>
      </x:c>
      <x:c r="E277" s="2590" t="s">
        <x:v>855</x:v>
      </x:c>
      <x:c r="F277" s="2590" t="s">
        <x:v>856</x:v>
      </x:c>
      <x:c r="G277" s="2590" t="s">
        <x:v>89</x:v>
      </x:c>
      <x:c r="H277" s="2590" t="s">
        <x:v>756</x:v>
      </x:c>
      <x:c r="I277" s="2590" t="s">
        <x:v>757</x:v>
      </x:c>
      <x:c r="J277" s="2590" t="s">
        <x:v>758</x:v>
      </x:c>
      <x:c r="K277" s="2581" t="s">
        <x:v>89</x:v>
      </x:c>
      <x:c r="L277" s="2818"/>
      <x:c r="M277" s="2818"/>
      <x:c r="N277" s="2383">
        <x:v>1002</x:v>
      </x:c>
      <x:c r="O277" s="2394"/>
      <x:c r="P277" s="2530"/>
      <x:c r="Q277" s="2590" t="s">
        <x:v>320</x:v>
      </x:c>
      <x:c r="R277" s="2581" t="s">
        <x:v>757</x:v>
      </x:c>
      <x:c r="S277" s="2590" t="s">
        <x:v>137</x:v>
      </x:c>
      <x:c r="T277" s="2590" t="s">
        <x:v>195</x:v>
      </x:c>
      <x:c r="U277" s="2590" t="s">
        <x:v>140</x:v>
      </x:c>
      <x:c r="V277" s="2581" t="s">
        <x:v>857</x:v>
      </x:c>
      <x:c r="W277" s="861"/>
      <x:c r="X277" s="1155"/>
    </x:row>
    <x:row r="278" ht="39" customHeight="1">
      <x:c r="A278" s="2801">
        <x:v>45962</x:v>
      </x:c>
      <x:c r="B278" s="2797">
        <x:v>46022</x:v>
      </x:c>
      <x:c r="C278" s="2590" t="s">
        <x:v>854</x:v>
      </x:c>
      <x:c r="D278" s="2590" t="s">
        <x:v>829</x:v>
      </x:c>
      <x:c r="E278" s="2590" t="s">
        <x:v>855</x:v>
      </x:c>
      <x:c r="F278" s="2590" t="s">
        <x:v>856</x:v>
      </x:c>
      <x:c r="G278" s="2590" t="s">
        <x:v>89</x:v>
      </x:c>
      <x:c r="H278" s="2590" t="s">
        <x:v>756</x:v>
      </x:c>
      <x:c r="I278" s="2590" t="s">
        <x:v>858</x:v>
      </x:c>
      <x:c r="J278" s="2590" t="s">
        <x:v>758</x:v>
      </x:c>
      <x:c r="K278" s="2581" t="s">
        <x:v>867</x:v>
      </x:c>
      <x:c r="L278" s="2818"/>
      <x:c r="M278" s="2818"/>
      <x:c r="N278" s="2383">
        <x:v>3248</x:v>
      </x:c>
      <x:c r="O278" s="2394"/>
      <x:c r="P278" s="2530"/>
      <x:c r="Q278" s="2590" t="s">
        <x:v>320</x:v>
      </x:c>
      <x:c r="R278" s="2581" t="s">
        <x:v>858</x:v>
      </x:c>
      <x:c r="S278" s="2590" t="s">
        <x:v>137</x:v>
      </x:c>
      <x:c r="T278" s="2590" t="s">
        <x:v>195</x:v>
      </x:c>
      <x:c r="U278" s="2590" t="s">
        <x:v>140</x:v>
      </x:c>
      <x:c r="V278" s="2581" t="s">
        <x:v>860</x:v>
      </x:c>
      <x:c r="W278" s="861"/>
      <x:c r="X278" s="1155"/>
    </x:row>
    <x:row r="279" ht="39" customHeight="1">
      <x:c r="A279" s="2801">
        <x:v>45962</x:v>
      </x:c>
      <x:c r="B279" s="2797">
        <x:v>46022</x:v>
      </x:c>
      <x:c r="C279" s="2590" t="s">
        <x:v>854</x:v>
      </x:c>
      <x:c r="D279" s="2590" t="s">
        <x:v>829</x:v>
      </x:c>
      <x:c r="E279" s="2590" t="s">
        <x:v>855</x:v>
      </x:c>
      <x:c r="F279" s="2590" t="s">
        <x:v>856</x:v>
      </x:c>
      <x:c r="G279" s="2590" t="s">
        <x:v>89</x:v>
      </x:c>
      <x:c r="H279" s="2590" t="s">
        <x:v>782</x:v>
      </x:c>
      <x:c r="I279" s="2590" t="s">
        <x:v>863</x:v>
      </x:c>
      <x:c r="J279" s="2590" t="s">
        <x:v>864</x:v>
      </x:c>
      <x:c r="K279" s="2581" t="s">
        <x:v>709</x:v>
      </x:c>
      <x:c r="L279" s="2581" t="s">
        <x:v>309</x:v>
      </x:c>
      <x:c r="M279" s="2581" t="s">
        <x:v>709</x:v>
      </x:c>
      <x:c r="N279" s="2383">
        <x:v>511</x:v>
      </x:c>
      <x:c r="O279" s="2394"/>
      <x:c r="P279" s="2530">
        <x:v>0.15732758620689699</x:v>
      </x:c>
      <x:c r="Q279" s="2590" t="s">
        <x:v>865</x:v>
      </x:c>
      <x:c r="R279" s="2581" t="s">
        <x:v>709</x:v>
      </x:c>
      <x:c r="S279" s="2590" t="s">
        <x:v>137</x:v>
      </x:c>
      <x:c r="T279" s="2590" t="s">
        <x:v>195</x:v>
      </x:c>
      <x:c r="U279" s="2590" t="s">
        <x:v>140</x:v>
      </x:c>
      <x:c r="V279" s="2581" t="s">
        <x:v>866</x:v>
      </x:c>
      <x:c r="W279" s="861"/>
      <x:c r="X279" s="1155"/>
    </x:row>
    <x:row r="280" ht="39" customHeight="1">
      <x:c r="A280" s="2801">
        <x:v>45962</x:v>
      </x:c>
      <x:c r="B280" s="2797">
        <x:v>46022</x:v>
      </x:c>
      <x:c r="C280" s="2590" t="s">
        <x:v>854</x:v>
      </x:c>
      <x:c r="D280" s="2590" t="s">
        <x:v>829</x:v>
      </x:c>
      <x:c r="E280" s="2590" t="s">
        <x:v>855</x:v>
      </x:c>
      <x:c r="F280" s="2590" t="s">
        <x:v>856</x:v>
      </x:c>
      <x:c r="G280" s="2590" t="s">
        <x:v>89</x:v>
      </x:c>
      <x:c r="H280" s="2590" t="s">
        <x:v>782</x:v>
      </x:c>
      <x:c r="I280" s="2590" t="s">
        <x:v>863</x:v>
      </x:c>
      <x:c r="J280" s="2590" t="s">
        <x:v>864</x:v>
      </x:c>
      <x:c r="K280" s="2581" t="s">
        <x:v>710</x:v>
      </x:c>
      <x:c r="L280" s="2581" t="s">
        <x:v>711</x:v>
      </x:c>
      <x:c r="M280" s="2581" t="s">
        <x:v>710</x:v>
      </x:c>
      <x:c r="N280" s="2383">
        <x:v>289</x:v>
      </x:c>
      <x:c r="O280" s="2394"/>
      <x:c r="P280" s="2530">
        <x:v>8.8977832512315294E-2</x:v>
      </x:c>
      <x:c r="Q280" s="2590" t="s">
        <x:v>865</x:v>
      </x:c>
      <x:c r="R280" s="2581" t="s">
        <x:v>710</x:v>
      </x:c>
      <x:c r="S280" s="2590" t="s">
        <x:v>137</x:v>
      </x:c>
      <x:c r="T280" s="2590" t="s">
        <x:v>195</x:v>
      </x:c>
      <x:c r="U280" s="2590" t="s">
        <x:v>140</x:v>
      </x:c>
      <x:c r="V280" s="2581" t="s">
        <x:v>866</x:v>
      </x:c>
      <x:c r="W280" s="861"/>
      <x:c r="X280" s="1155"/>
    </x:row>
    <x:row r="281" ht="39" customHeight="1">
      <x:c r="A281" s="2801">
        <x:v>45962</x:v>
      </x:c>
      <x:c r="B281" s="2797">
        <x:v>46022</x:v>
      </x:c>
      <x:c r="C281" s="2590" t="s">
        <x:v>854</x:v>
      </x:c>
      <x:c r="D281" s="2590" t="s">
        <x:v>829</x:v>
      </x:c>
      <x:c r="E281" s="2590" t="s">
        <x:v>855</x:v>
      </x:c>
      <x:c r="F281" s="2590" t="s">
        <x:v>856</x:v>
      </x:c>
      <x:c r="G281" s="2590" t="s">
        <x:v>89</x:v>
      </x:c>
      <x:c r="H281" s="2590" t="s">
        <x:v>782</x:v>
      </x:c>
      <x:c r="I281" s="2590" t="s">
        <x:v>863</x:v>
      </x:c>
      <x:c r="J281" s="2590" t="s">
        <x:v>864</x:v>
      </x:c>
      <x:c r="K281" s="2581" t="s">
        <x:v>701</x:v>
      </x:c>
      <x:c r="L281" s="2581" t="s">
        <x:v>711</x:v>
      </x:c>
      <x:c r="M281" s="2581" t="s">
        <x:v>701</x:v>
      </x:c>
      <x:c r="N281" s="2383">
        <x:v>287</x:v>
      </x:c>
      <x:c r="O281" s="2394"/>
      <x:c r="P281" s="2530">
        <x:v>8.8362068965517196E-2</x:v>
      </x:c>
      <x:c r="Q281" s="2590" t="s">
        <x:v>865</x:v>
      </x:c>
      <x:c r="R281" s="2581" t="s">
        <x:v>701</x:v>
      </x:c>
      <x:c r="S281" s="2590" t="s">
        <x:v>137</x:v>
      </x:c>
      <x:c r="T281" s="2590" t="s">
        <x:v>195</x:v>
      </x:c>
      <x:c r="U281" s="2590" t="s">
        <x:v>140</x:v>
      </x:c>
      <x:c r="V281" s="2581" t="s">
        <x:v>866</x:v>
      </x:c>
      <x:c r="W281" s="861"/>
      <x:c r="X281" s="1155"/>
    </x:row>
    <x:row r="282" ht="39" customHeight="1">
      <x:c r="A282" s="2801">
        <x:v>45962</x:v>
      </x:c>
      <x:c r="B282" s="2797">
        <x:v>46022</x:v>
      </x:c>
      <x:c r="C282" s="2590" t="s">
        <x:v>854</x:v>
      </x:c>
      <x:c r="D282" s="2590" t="s">
        <x:v>829</x:v>
      </x:c>
      <x:c r="E282" s="2590" t="s">
        <x:v>855</x:v>
      </x:c>
      <x:c r="F282" s="2590" t="s">
        <x:v>856</x:v>
      </x:c>
      <x:c r="G282" s="2590" t="s">
        <x:v>89</x:v>
      </x:c>
      <x:c r="H282" s="2590" t="s">
        <x:v>782</x:v>
      </x:c>
      <x:c r="I282" s="2590" t="s">
        <x:v>863</x:v>
      </x:c>
      <x:c r="J282" s="2590" t="s">
        <x:v>864</x:v>
      </x:c>
      <x:c r="K282" s="2581" t="s">
        <x:v>712</x:v>
      </x:c>
      <x:c r="L282" s="2581" t="s">
        <x:v>713</x:v>
      </x:c>
      <x:c r="M282" s="2581" t="s">
        <x:v>712</x:v>
      </x:c>
      <x:c r="N282" s="2383">
        <x:v>271</x:v>
      </x:c>
      <x:c r="O282" s="2394"/>
      <x:c r="P282" s="2530">
        <x:v>8.3435960591132993E-2</x:v>
      </x:c>
      <x:c r="Q282" s="2590" t="s">
        <x:v>865</x:v>
      </x:c>
      <x:c r="R282" s="2581" t="s">
        <x:v>712</x:v>
      </x:c>
      <x:c r="S282" s="2590" t="s">
        <x:v>137</x:v>
      </x:c>
      <x:c r="T282" s="2590" t="s">
        <x:v>195</x:v>
      </x:c>
      <x:c r="U282" s="2590" t="s">
        <x:v>140</x:v>
      </x:c>
      <x:c r="V282" s="2581" t="s">
        <x:v>866</x:v>
      </x:c>
      <x:c r="W282" s="861"/>
      <x:c r="X282" s="1155"/>
    </x:row>
    <x:row r="283" ht="39" customHeight="1">
      <x:c r="A283" s="2801">
        <x:v>45962</x:v>
      </x:c>
      <x:c r="B283" s="2797">
        <x:v>46022</x:v>
      </x:c>
      <x:c r="C283" s="2590" t="s">
        <x:v>854</x:v>
      </x:c>
      <x:c r="D283" s="2590" t="s">
        <x:v>829</x:v>
      </x:c>
      <x:c r="E283" s="2590" t="s">
        <x:v>855</x:v>
      </x:c>
      <x:c r="F283" s="2590" t="s">
        <x:v>856</x:v>
      </x:c>
      <x:c r="G283" s="2590" t="s">
        <x:v>89</x:v>
      </x:c>
      <x:c r="H283" s="2590" t="s">
        <x:v>782</x:v>
      </x:c>
      <x:c r="I283" s="2590" t="s">
        <x:v>863</x:v>
      </x:c>
      <x:c r="J283" s="2590" t="s">
        <x:v>864</x:v>
      </x:c>
      <x:c r="K283" s="2581" t="s">
        <x:v>714</x:v>
      </x:c>
      <x:c r="L283" s="2581" t="s">
        <x:v>715</x:v>
      </x:c>
      <x:c r="M283" s="2581" t="s">
        <x:v>714</x:v>
      </x:c>
      <x:c r="N283" s="2383">
        <x:v>164</x:v>
      </x:c>
      <x:c r="O283" s="2394"/>
      <x:c r="P283" s="2530">
        <x:v>5.0492610837438397E-2</x:v>
      </x:c>
      <x:c r="Q283" s="2590" t="s">
        <x:v>865</x:v>
      </x:c>
      <x:c r="R283" s="2581" t="s">
        <x:v>714</x:v>
      </x:c>
      <x:c r="S283" s="2590" t="s">
        <x:v>137</x:v>
      </x:c>
      <x:c r="T283" s="2590" t="s">
        <x:v>195</x:v>
      </x:c>
      <x:c r="U283" s="2590" t="s">
        <x:v>140</x:v>
      </x:c>
      <x:c r="V283" s="2581" t="s">
        <x:v>866</x:v>
      </x:c>
      <x:c r="W283" s="861"/>
      <x:c r="X283" s="1155"/>
    </x:row>
    <x:row r="284" ht="39" customHeight="1">
      <x:c r="A284" s="2801">
        <x:v>45962</x:v>
      </x:c>
      <x:c r="B284" s="2797">
        <x:v>46022</x:v>
      </x:c>
      <x:c r="C284" s="2590" t="s">
        <x:v>854</x:v>
      </x:c>
      <x:c r="D284" s="2590" t="s">
        <x:v>829</x:v>
      </x:c>
      <x:c r="E284" s="2590" t="s">
        <x:v>855</x:v>
      </x:c>
      <x:c r="F284" s="2590" t="s">
        <x:v>856</x:v>
      </x:c>
      <x:c r="G284" s="2590" t="s">
        <x:v>89</x:v>
      </x:c>
      <x:c r="H284" s="2590" t="s">
        <x:v>782</x:v>
      </x:c>
      <x:c r="I284" s="2590" t="s">
        <x:v>863</x:v>
      </x:c>
      <x:c r="J284" s="2590" t="s">
        <x:v>864</x:v>
      </x:c>
      <x:c r="K284" s="2581" t="s">
        <x:v>234</x:v>
      </x:c>
      <x:c r="L284" s="2581" t="s">
        <x:v>309</x:v>
      </x:c>
      <x:c r="M284" s="2581" t="s">
        <x:v>234</x:v>
      </x:c>
      <x:c r="N284" s="2383">
        <x:v>127</x:v>
      </x:c>
      <x:c r="O284" s="2394"/>
      <x:c r="P284" s="2530">
        <x:v>3.9100985221674898E-2</x:v>
      </x:c>
      <x:c r="Q284" s="2590" t="s">
        <x:v>865</x:v>
      </x:c>
      <x:c r="R284" s="2581" t="s">
        <x:v>234</x:v>
      </x:c>
      <x:c r="S284" s="2590" t="s">
        <x:v>137</x:v>
      </x:c>
      <x:c r="T284" s="2590" t="s">
        <x:v>195</x:v>
      </x:c>
      <x:c r="U284" s="2590" t="s">
        <x:v>140</x:v>
      </x:c>
      <x:c r="V284" s="2581" t="s">
        <x:v>866</x:v>
      </x:c>
      <x:c r="W284" s="861"/>
      <x:c r="X284" s="1155"/>
    </x:row>
    <x:row r="285" ht="39" customHeight="1">
      <x:c r="A285" s="2801">
        <x:v>45962</x:v>
      </x:c>
      <x:c r="B285" s="2797">
        <x:v>46022</x:v>
      </x:c>
      <x:c r="C285" s="2590" t="s">
        <x:v>854</x:v>
      </x:c>
      <x:c r="D285" s="2590" t="s">
        <x:v>829</x:v>
      </x:c>
      <x:c r="E285" s="2590" t="s">
        <x:v>855</x:v>
      </x:c>
      <x:c r="F285" s="2590" t="s">
        <x:v>856</x:v>
      </x:c>
      <x:c r="G285" s="2590" t="s">
        <x:v>89</x:v>
      </x:c>
      <x:c r="H285" s="2590" t="s">
        <x:v>782</x:v>
      </x:c>
      <x:c r="I285" s="2590" t="s">
        <x:v>863</x:v>
      </x:c>
      <x:c r="J285" s="2590" t="s">
        <x:v>864</x:v>
      </x:c>
      <x:c r="K285" s="2581" t="s">
        <x:v>716</x:v>
      </x:c>
      <x:c r="L285" s="2581" t="s">
        <x:v>309</x:v>
      </x:c>
      <x:c r="M285" s="2581" t="s">
        <x:v>716</x:v>
      </x:c>
      <x:c r="N285" s="2383">
        <x:v>120</x:v>
      </x:c>
      <x:c r="O285" s="2394"/>
      <x:c r="P285" s="2530">
        <x:v>3.6945812807881798E-2</x:v>
      </x:c>
      <x:c r="Q285" s="2590" t="s">
        <x:v>865</x:v>
      </x:c>
      <x:c r="R285" s="2581" t="s">
        <x:v>716</x:v>
      </x:c>
      <x:c r="S285" s="2590" t="s">
        <x:v>137</x:v>
      </x:c>
      <x:c r="T285" s="2590" t="s">
        <x:v>195</x:v>
      </x:c>
      <x:c r="U285" s="2590" t="s">
        <x:v>140</x:v>
      </x:c>
      <x:c r="V285" s="2581" t="s">
        <x:v>866</x:v>
      </x:c>
      <x:c r="W285" s="861"/>
      <x:c r="X285" s="1155"/>
    </x:row>
    <x:row r="286" ht="39" customHeight="1">
      <x:c r="A286" s="2801">
        <x:v>45962</x:v>
      </x:c>
      <x:c r="B286" s="2797">
        <x:v>46022</x:v>
      </x:c>
      <x:c r="C286" s="2590" t="s">
        <x:v>854</x:v>
      </x:c>
      <x:c r="D286" s="2590" t="s">
        <x:v>829</x:v>
      </x:c>
      <x:c r="E286" s="2590" t="s">
        <x:v>855</x:v>
      </x:c>
      <x:c r="F286" s="2590" t="s">
        <x:v>856</x:v>
      </x:c>
      <x:c r="G286" s="2590" t="s">
        <x:v>89</x:v>
      </x:c>
      <x:c r="H286" s="2590" t="s">
        <x:v>782</x:v>
      </x:c>
      <x:c r="I286" s="2590" t="s">
        <x:v>863</x:v>
      </x:c>
      <x:c r="J286" s="2590" t="s">
        <x:v>864</x:v>
      </x:c>
      <x:c r="K286" s="2581" t="s">
        <x:v>717</x:v>
      </x:c>
      <x:c r="L286" s="2581" t="s">
        <x:v>718</x:v>
      </x:c>
      <x:c r="M286" s="2581" t="s">
        <x:v>717</x:v>
      </x:c>
      <x:c r="N286" s="2383">
        <x:v>106</x:v>
      </x:c>
      <x:c r="O286" s="2394"/>
      <x:c r="P286" s="2530">
        <x:v>3.2635467980295603E-2</x:v>
      </x:c>
      <x:c r="Q286" s="2590" t="s">
        <x:v>865</x:v>
      </x:c>
      <x:c r="R286" s="2581" t="s">
        <x:v>717</x:v>
      </x:c>
      <x:c r="S286" s="2590" t="s">
        <x:v>137</x:v>
      </x:c>
      <x:c r="T286" s="2590" t="s">
        <x:v>195</x:v>
      </x:c>
      <x:c r="U286" s="2590" t="s">
        <x:v>140</x:v>
      </x:c>
      <x:c r="V286" s="2581" t="s">
        <x:v>866</x:v>
      </x:c>
      <x:c r="W286" s="861"/>
      <x:c r="X286" s="1155"/>
    </x:row>
    <x:row r="287" ht="39" customHeight="1">
      <x:c r="A287" s="2801">
        <x:v>45962</x:v>
      </x:c>
      <x:c r="B287" s="2797">
        <x:v>46022</x:v>
      </x:c>
      <x:c r="C287" s="2590" t="s">
        <x:v>854</x:v>
      </x:c>
      <x:c r="D287" s="2590" t="s">
        <x:v>829</x:v>
      </x:c>
      <x:c r="E287" s="2590" t="s">
        <x:v>855</x:v>
      </x:c>
      <x:c r="F287" s="2590" t="s">
        <x:v>856</x:v>
      </x:c>
      <x:c r="G287" s="2590" t="s">
        <x:v>89</x:v>
      </x:c>
      <x:c r="H287" s="2590" t="s">
        <x:v>782</x:v>
      </x:c>
      <x:c r="I287" s="2590" t="s">
        <x:v>863</x:v>
      </x:c>
      <x:c r="J287" s="2590" t="s">
        <x:v>864</x:v>
      </x:c>
      <x:c r="K287" s="2581" t="s">
        <x:v>719</x:v>
      </x:c>
      <x:c r="L287" s="2581" t="s">
        <x:v>711</x:v>
      </x:c>
      <x:c r="M287" s="2581" t="s">
        <x:v>719</x:v>
      </x:c>
      <x:c r="N287" s="2383">
        <x:v>104</x:v>
      </x:c>
      <x:c r="O287" s="2394"/>
      <x:c r="P287" s="2530">
        <x:v>3.2019704433497498E-2</x:v>
      </x:c>
      <x:c r="Q287" s="2590" t="s">
        <x:v>865</x:v>
      </x:c>
      <x:c r="R287" s="2581" t="s">
        <x:v>719</x:v>
      </x:c>
      <x:c r="S287" s="2590" t="s">
        <x:v>137</x:v>
      </x:c>
      <x:c r="T287" s="2590" t="s">
        <x:v>195</x:v>
      </x:c>
      <x:c r="U287" s="2590" t="s">
        <x:v>140</x:v>
      </x:c>
      <x:c r="V287" s="2581" t="s">
        <x:v>866</x:v>
      </x:c>
      <x:c r="W287" s="861"/>
      <x:c r="X287" s="1155"/>
    </x:row>
    <x:row r="288" ht="39" customHeight="1">
      <x:c r="A288" s="2801">
        <x:v>45962</x:v>
      </x:c>
      <x:c r="B288" s="2797">
        <x:v>46022</x:v>
      </x:c>
      <x:c r="C288" s="2590" t="s">
        <x:v>854</x:v>
      </x:c>
      <x:c r="D288" s="2590" t="s">
        <x:v>829</x:v>
      </x:c>
      <x:c r="E288" s="2590" t="s">
        <x:v>855</x:v>
      </x:c>
      <x:c r="F288" s="2590" t="s">
        <x:v>856</x:v>
      </x:c>
      <x:c r="G288" s="2590" t="s">
        <x:v>89</x:v>
      </x:c>
      <x:c r="H288" s="2590" t="s">
        <x:v>782</x:v>
      </x:c>
      <x:c r="I288" s="2590" t="s">
        <x:v>863</x:v>
      </x:c>
      <x:c r="J288" s="2590" t="s">
        <x:v>864</x:v>
      </x:c>
      <x:c r="K288" s="2581" t="s">
        <x:v>720</x:v>
      </x:c>
      <x:c r="L288" s="2581" t="s">
        <x:v>711</x:v>
      </x:c>
      <x:c r="M288" s="2581" t="s">
        <x:v>720</x:v>
      </x:c>
      <x:c r="N288" s="2383">
        <x:v>100</x:v>
      </x:c>
      <x:c r="O288" s="2394"/>
      <x:c r="P288" s="2530">
        <x:v>3.0788177339901499E-2</x:v>
      </x:c>
      <x:c r="Q288" s="2590" t="s">
        <x:v>865</x:v>
      </x:c>
      <x:c r="R288" s="2581" t="s">
        <x:v>720</x:v>
      </x:c>
      <x:c r="S288" s="2590" t="s">
        <x:v>137</x:v>
      </x:c>
      <x:c r="T288" s="2590" t="s">
        <x:v>195</x:v>
      </x:c>
      <x:c r="U288" s="2590" t="s">
        <x:v>140</x:v>
      </x:c>
      <x:c r="V288" s="2581" t="s">
        <x:v>866</x:v>
      </x:c>
      <x:c r="W288" s="861"/>
      <x:c r="X288" s="1155"/>
    </x:row>
    <x:row r="289" ht="39" customHeight="1">
      <x:c r="A289" s="2801">
        <x:v>45962</x:v>
      </x:c>
      <x:c r="B289" s="2797">
        <x:v>46022</x:v>
      </x:c>
      <x:c r="C289" s="2590" t="s">
        <x:v>854</x:v>
      </x:c>
      <x:c r="D289" s="2590" t="s">
        <x:v>829</x:v>
      </x:c>
      <x:c r="E289" s="2590" t="s">
        <x:v>855</x:v>
      </x:c>
      <x:c r="F289" s="2590" t="s">
        <x:v>856</x:v>
      </x:c>
      <x:c r="G289" s="2590" t="s">
        <x:v>89</x:v>
      </x:c>
      <x:c r="H289" s="2590" t="s">
        <x:v>782</x:v>
      </x:c>
      <x:c r="I289" s="2590" t="s">
        <x:v>863</x:v>
      </x:c>
      <x:c r="J289" s="2590" t="s">
        <x:v>864</x:v>
      </x:c>
      <x:c r="K289" s="2581" t="s">
        <x:v>721</x:v>
      </x:c>
      <x:c r="L289" s="2581" t="s">
        <x:v>309</x:v>
      </x:c>
      <x:c r="M289" s="2581" t="s">
        <x:v>721</x:v>
      </x:c>
      <x:c r="N289" s="2383">
        <x:v>91</x:v>
      </x:c>
      <x:c r="O289" s="2394"/>
      <x:c r="P289" s="2530">
        <x:v>2.80172413793103E-2</x:v>
      </x:c>
      <x:c r="Q289" s="2590" t="s">
        <x:v>865</x:v>
      </x:c>
      <x:c r="R289" s="2581" t="s">
        <x:v>721</x:v>
      </x:c>
      <x:c r="S289" s="2590" t="s">
        <x:v>137</x:v>
      </x:c>
      <x:c r="T289" s="2590" t="s">
        <x:v>195</x:v>
      </x:c>
      <x:c r="U289" s="2590" t="s">
        <x:v>140</x:v>
      </x:c>
      <x:c r="V289" s="2581" t="s">
        <x:v>866</x:v>
      </x:c>
      <x:c r="W289" s="861"/>
      <x:c r="X289" s="1155"/>
    </x:row>
    <x:row r="290" ht="39" customHeight="1">
      <x:c r="A290" s="2801">
        <x:v>45962</x:v>
      </x:c>
      <x:c r="B290" s="2797">
        <x:v>46022</x:v>
      </x:c>
      <x:c r="C290" s="2590" t="s">
        <x:v>854</x:v>
      </x:c>
      <x:c r="D290" s="2590" t="s">
        <x:v>829</x:v>
      </x:c>
      <x:c r="E290" s="2590" t="s">
        <x:v>855</x:v>
      </x:c>
      <x:c r="F290" s="2590" t="s">
        <x:v>856</x:v>
      </x:c>
      <x:c r="G290" s="2590" t="s">
        <x:v>89</x:v>
      </x:c>
      <x:c r="H290" s="2590" t="s">
        <x:v>782</x:v>
      </x:c>
      <x:c r="I290" s="2590" t="s">
        <x:v>863</x:v>
      </x:c>
      <x:c r="J290" s="2590" t="s">
        <x:v>864</x:v>
      </x:c>
      <x:c r="K290" s="2581" t="s">
        <x:v>722</x:v>
      </x:c>
      <x:c r="L290" s="2581" t="s">
        <x:v>723</x:v>
      </x:c>
      <x:c r="M290" s="2581" t="s">
        <x:v>722</x:v>
      </x:c>
      <x:c r="N290" s="2383">
        <x:v>91</x:v>
      </x:c>
      <x:c r="O290" s="2394"/>
      <x:c r="P290" s="2530">
        <x:v>2.80172413793103E-2</x:v>
      </x:c>
      <x:c r="Q290" s="2590" t="s">
        <x:v>865</x:v>
      </x:c>
      <x:c r="R290" s="2581" t="s">
        <x:v>722</x:v>
      </x:c>
      <x:c r="S290" s="2590" t="s">
        <x:v>137</x:v>
      </x:c>
      <x:c r="T290" s="2590" t="s">
        <x:v>195</x:v>
      </x:c>
      <x:c r="U290" s="2590" t="s">
        <x:v>140</x:v>
      </x:c>
      <x:c r="V290" s="2581" t="s">
        <x:v>866</x:v>
      </x:c>
      <x:c r="W290" s="861"/>
      <x:c r="X290" s="1155"/>
    </x:row>
    <x:row r="291" ht="39" customHeight="1">
      <x:c r="A291" s="2801">
        <x:v>45962</x:v>
      </x:c>
      <x:c r="B291" s="2797">
        <x:v>46022</x:v>
      </x:c>
      <x:c r="C291" s="2590" t="s">
        <x:v>854</x:v>
      </x:c>
      <x:c r="D291" s="2590" t="s">
        <x:v>829</x:v>
      </x:c>
      <x:c r="E291" s="2590" t="s">
        <x:v>855</x:v>
      </x:c>
      <x:c r="F291" s="2590" t="s">
        <x:v>856</x:v>
      </x:c>
      <x:c r="G291" s="2590" t="s">
        <x:v>89</x:v>
      </x:c>
      <x:c r="H291" s="2590" t="s">
        <x:v>782</x:v>
      </x:c>
      <x:c r="I291" s="2590" t="s">
        <x:v>863</x:v>
      </x:c>
      <x:c r="J291" s="2590" t="s">
        <x:v>864</x:v>
      </x:c>
      <x:c r="K291" s="2581" t="s">
        <x:v>724</x:v>
      </x:c>
      <x:c r="L291" s="2581" t="s">
        <x:v>711</x:v>
      </x:c>
      <x:c r="M291" s="2581" t="s">
        <x:v>724</x:v>
      </x:c>
      <x:c r="N291" s="2383">
        <x:v>87</x:v>
      </x:c>
      <x:c r="O291" s="2394"/>
      <x:c r="P291" s="2530">
        <x:v>2.6785714285714302E-2</x:v>
      </x:c>
      <x:c r="Q291" s="2590" t="s">
        <x:v>865</x:v>
      </x:c>
      <x:c r="R291" s="2581" t="s">
        <x:v>724</x:v>
      </x:c>
      <x:c r="S291" s="2590" t="s">
        <x:v>137</x:v>
      </x:c>
      <x:c r="T291" s="2590" t="s">
        <x:v>195</x:v>
      </x:c>
      <x:c r="U291" s="2590" t="s">
        <x:v>140</x:v>
      </x:c>
      <x:c r="V291" s="2581" t="s">
        <x:v>866</x:v>
      </x:c>
      <x:c r="W291" s="861"/>
      <x:c r="X291" s="1155"/>
    </x:row>
    <x:row r="292" ht="39" customHeight="1">
      <x:c r="A292" s="2801">
        <x:v>45962</x:v>
      </x:c>
      <x:c r="B292" s="2797">
        <x:v>46022</x:v>
      </x:c>
      <x:c r="C292" s="2590" t="s">
        <x:v>854</x:v>
      </x:c>
      <x:c r="D292" s="2590" t="s">
        <x:v>829</x:v>
      </x:c>
      <x:c r="E292" s="2590" t="s">
        <x:v>855</x:v>
      </x:c>
      <x:c r="F292" s="2590" t="s">
        <x:v>856</x:v>
      </x:c>
      <x:c r="G292" s="2590" t="s">
        <x:v>89</x:v>
      </x:c>
      <x:c r="H292" s="2590" t="s">
        <x:v>782</x:v>
      </x:c>
      <x:c r="I292" s="2590" t="s">
        <x:v>863</x:v>
      </x:c>
      <x:c r="J292" s="2590" t="s">
        <x:v>864</x:v>
      </x:c>
      <x:c r="K292" s="2581" t="s">
        <x:v>725</x:v>
      </x:c>
      <x:c r="L292" s="2581" t="s">
        <x:v>726</x:v>
      </x:c>
      <x:c r="M292" s="2581" t="s">
        <x:v>725</x:v>
      </x:c>
      <x:c r="N292" s="2383">
        <x:v>76</x:v>
      </x:c>
      <x:c r="O292" s="2394"/>
      <x:c r="P292" s="2530">
        <x:v>2.3399014778325102E-2</x:v>
      </x:c>
      <x:c r="Q292" s="2590" t="s">
        <x:v>865</x:v>
      </x:c>
      <x:c r="R292" s="2581" t="s">
        <x:v>725</x:v>
      </x:c>
      <x:c r="S292" s="2590" t="s">
        <x:v>137</x:v>
      </x:c>
      <x:c r="T292" s="2590" t="s">
        <x:v>195</x:v>
      </x:c>
      <x:c r="U292" s="2590" t="s">
        <x:v>140</x:v>
      </x:c>
      <x:c r="V292" s="2581" t="s">
        <x:v>866</x:v>
      </x:c>
      <x:c r="W292" s="861"/>
      <x:c r="X292" s="1155"/>
    </x:row>
    <x:row r="293" ht="39" customHeight="1">
      <x:c r="A293" s="2801">
        <x:v>45962</x:v>
      </x:c>
      <x:c r="B293" s="2797">
        <x:v>46022</x:v>
      </x:c>
      <x:c r="C293" s="2590" t="s">
        <x:v>854</x:v>
      </x:c>
      <x:c r="D293" s="2590" t="s">
        <x:v>829</x:v>
      </x:c>
      <x:c r="E293" s="2590" t="s">
        <x:v>855</x:v>
      </x:c>
      <x:c r="F293" s="2590" t="s">
        <x:v>856</x:v>
      </x:c>
      <x:c r="G293" s="2590" t="s">
        <x:v>89</x:v>
      </x:c>
      <x:c r="H293" s="2590" t="s">
        <x:v>782</x:v>
      </x:c>
      <x:c r="I293" s="2590" t="s">
        <x:v>863</x:v>
      </x:c>
      <x:c r="J293" s="2590" t="s">
        <x:v>864</x:v>
      </x:c>
      <x:c r="K293" s="2581" t="s">
        <x:v>727</x:v>
      </x:c>
      <x:c r="L293" s="2581" t="s">
        <x:v>309</x:v>
      </x:c>
      <x:c r="M293" s="2581" t="s">
        <x:v>727</x:v>
      </x:c>
      <x:c r="N293" s="2383">
        <x:v>63</x:v>
      </x:c>
      <x:c r="O293" s="2394"/>
      <x:c r="P293" s="2530">
        <x:v>1.93965517241379E-2</x:v>
      </x:c>
      <x:c r="Q293" s="2590" t="s">
        <x:v>865</x:v>
      </x:c>
      <x:c r="R293" s="2581" t="s">
        <x:v>727</x:v>
      </x:c>
      <x:c r="S293" s="2590" t="s">
        <x:v>137</x:v>
      </x:c>
      <x:c r="T293" s="2590" t="s">
        <x:v>195</x:v>
      </x:c>
      <x:c r="U293" s="2590" t="s">
        <x:v>140</x:v>
      </x:c>
      <x:c r="V293" s="2581" t="s">
        <x:v>866</x:v>
      </x:c>
      <x:c r="W293" s="861"/>
      <x:c r="X293" s="1155"/>
    </x:row>
    <x:row r="294" ht="39" customHeight="1">
      <x:c r="A294" s="2801">
        <x:v>45962</x:v>
      </x:c>
      <x:c r="B294" s="2797">
        <x:v>46022</x:v>
      </x:c>
      <x:c r="C294" s="2590" t="s">
        <x:v>854</x:v>
      </x:c>
      <x:c r="D294" s="2590" t="s">
        <x:v>829</x:v>
      </x:c>
      <x:c r="E294" s="2590" t="s">
        <x:v>855</x:v>
      </x:c>
      <x:c r="F294" s="2590" t="s">
        <x:v>856</x:v>
      </x:c>
      <x:c r="G294" s="2590" t="s">
        <x:v>89</x:v>
      </x:c>
      <x:c r="H294" s="2590" t="s">
        <x:v>782</x:v>
      </x:c>
      <x:c r="I294" s="2590" t="s">
        <x:v>863</x:v>
      </x:c>
      <x:c r="J294" s="2590" t="s">
        <x:v>864</x:v>
      </x:c>
      <x:c r="K294" s="2581" t="s">
        <x:v>728</x:v>
      </x:c>
      <x:c r="L294" s="2581" t="s">
        <x:v>718</x:v>
      </x:c>
      <x:c r="M294" s="2581" t="s">
        <x:v>728</x:v>
      </x:c>
      <x:c r="N294" s="2383">
        <x:v>63</x:v>
      </x:c>
      <x:c r="O294" s="2394"/>
      <x:c r="P294" s="2530">
        <x:v>1.93965517241379E-2</x:v>
      </x:c>
      <x:c r="Q294" s="2590" t="s">
        <x:v>865</x:v>
      </x:c>
      <x:c r="R294" s="2581" t="s">
        <x:v>728</x:v>
      </x:c>
      <x:c r="S294" s="2590" t="s">
        <x:v>137</x:v>
      </x:c>
      <x:c r="T294" s="2590" t="s">
        <x:v>195</x:v>
      </x:c>
      <x:c r="U294" s="2590" t="s">
        <x:v>140</x:v>
      </x:c>
      <x:c r="V294" s="2581" t="s">
        <x:v>866</x:v>
      </x:c>
      <x:c r="W294" s="861"/>
      <x:c r="X294" s="1155"/>
    </x:row>
    <x:row r="295" ht="39" customHeight="1">
      <x:c r="A295" s="2801">
        <x:v>45962</x:v>
      </x:c>
      <x:c r="B295" s="2797">
        <x:v>46022</x:v>
      </x:c>
      <x:c r="C295" s="2590" t="s">
        <x:v>854</x:v>
      </x:c>
      <x:c r="D295" s="2590" t="s">
        <x:v>829</x:v>
      </x:c>
      <x:c r="E295" s="2590" t="s">
        <x:v>855</x:v>
      </x:c>
      <x:c r="F295" s="2590" t="s">
        <x:v>856</x:v>
      </x:c>
      <x:c r="G295" s="2590" t="s">
        <x:v>89</x:v>
      </x:c>
      <x:c r="H295" s="2590" t="s">
        <x:v>782</x:v>
      </x:c>
      <x:c r="I295" s="2590" t="s">
        <x:v>863</x:v>
      </x:c>
      <x:c r="J295" s="2590" t="s">
        <x:v>864</x:v>
      </x:c>
      <x:c r="K295" s="2581" t="s">
        <x:v>729</x:v>
      </x:c>
      <x:c r="L295" s="2581" t="s">
        <x:v>309</x:v>
      </x:c>
      <x:c r="M295" s="2581" t="s">
        <x:v>729</x:v>
      </x:c>
      <x:c r="N295" s="2383">
        <x:v>61</x:v>
      </x:c>
      <x:c r="O295" s="2394"/>
      <x:c r="P295" s="2530">
        <x:v>1.8780788177339899E-2</x:v>
      </x:c>
      <x:c r="Q295" s="2590" t="s">
        <x:v>865</x:v>
      </x:c>
      <x:c r="R295" s="2581" t="s">
        <x:v>729</x:v>
      </x:c>
      <x:c r="S295" s="2590" t="s">
        <x:v>137</x:v>
      </x:c>
      <x:c r="T295" s="2590" t="s">
        <x:v>195</x:v>
      </x:c>
      <x:c r="U295" s="2590" t="s">
        <x:v>140</x:v>
      </x:c>
      <x:c r="V295" s="2581" t="s">
        <x:v>866</x:v>
      </x:c>
      <x:c r="W295" s="861"/>
      <x:c r="X295" s="1155"/>
    </x:row>
    <x:row r="296" ht="39" customHeight="1">
      <x:c r="A296" s="2801">
        <x:v>45962</x:v>
      </x:c>
      <x:c r="B296" s="2797">
        <x:v>46022</x:v>
      </x:c>
      <x:c r="C296" s="2590" t="s">
        <x:v>854</x:v>
      </x:c>
      <x:c r="D296" s="2590" t="s">
        <x:v>829</x:v>
      </x:c>
      <x:c r="E296" s="2590" t="s">
        <x:v>855</x:v>
      </x:c>
      <x:c r="F296" s="2590" t="s">
        <x:v>856</x:v>
      </x:c>
      <x:c r="G296" s="2590" t="s">
        <x:v>89</x:v>
      </x:c>
      <x:c r="H296" s="2590" t="s">
        <x:v>782</x:v>
      </x:c>
      <x:c r="I296" s="2590" t="s">
        <x:v>863</x:v>
      </x:c>
      <x:c r="J296" s="2590" t="s">
        <x:v>864</x:v>
      </x:c>
      <x:c r="K296" s="2581" t="s">
        <x:v>730</x:v>
      </x:c>
      <x:c r="L296" s="2581" t="s">
        <x:v>309</x:v>
      </x:c>
      <x:c r="M296" s="2581" t="s">
        <x:v>730</x:v>
      </x:c>
      <x:c r="N296" s="2383">
        <x:v>60</x:v>
      </x:c>
      <x:c r="O296" s="2394"/>
      <x:c r="P296" s="2530">
        <x:v>1.8472906403940899E-2</x:v>
      </x:c>
      <x:c r="Q296" s="2590" t="s">
        <x:v>865</x:v>
      </x:c>
      <x:c r="R296" s="2581" t="s">
        <x:v>730</x:v>
      </x:c>
      <x:c r="S296" s="2590" t="s">
        <x:v>137</x:v>
      </x:c>
      <x:c r="T296" s="2590" t="s">
        <x:v>195</x:v>
      </x:c>
      <x:c r="U296" s="2590" t="s">
        <x:v>140</x:v>
      </x:c>
      <x:c r="V296" s="2581" t="s">
        <x:v>866</x:v>
      </x:c>
      <x:c r="W296" s="861"/>
      <x:c r="X296" s="1155"/>
    </x:row>
    <x:row r="297" ht="39" customHeight="1">
      <x:c r="A297" s="2801">
        <x:v>45962</x:v>
      </x:c>
      <x:c r="B297" s="2797">
        <x:v>46022</x:v>
      </x:c>
      <x:c r="C297" s="2590" t="s">
        <x:v>854</x:v>
      </x:c>
      <x:c r="D297" s="2590" t="s">
        <x:v>829</x:v>
      </x:c>
      <x:c r="E297" s="2590" t="s">
        <x:v>855</x:v>
      </x:c>
      <x:c r="F297" s="2590" t="s">
        <x:v>856</x:v>
      </x:c>
      <x:c r="G297" s="2590" t="s">
        <x:v>89</x:v>
      </x:c>
      <x:c r="H297" s="2590" t="s">
        <x:v>782</x:v>
      </x:c>
      <x:c r="I297" s="2590" t="s">
        <x:v>863</x:v>
      </x:c>
      <x:c r="J297" s="2590" t="s">
        <x:v>864</x:v>
      </x:c>
      <x:c r="K297" s="2581" t="s">
        <x:v>196</x:v>
      </x:c>
      <x:c r="L297" s="2581" t="s">
        <x:v>731</x:v>
      </x:c>
      <x:c r="M297" s="2581" t="s">
        <x:v>196</x:v>
      </x:c>
      <x:c r="N297" s="2383">
        <x:v>51</x:v>
      </x:c>
      <x:c r="O297" s="2394"/>
      <x:c r="P297" s="2530">
        <x:v>1.57019704433498E-2</x:v>
      </x:c>
      <x:c r="Q297" s="2590" t="s">
        <x:v>865</x:v>
      </x:c>
      <x:c r="R297" s="2581" t="s">
        <x:v>196</x:v>
      </x:c>
      <x:c r="S297" s="2590" t="s">
        <x:v>137</x:v>
      </x:c>
      <x:c r="T297" s="2590" t="s">
        <x:v>195</x:v>
      </x:c>
      <x:c r="U297" s="2590" t="s">
        <x:v>140</x:v>
      </x:c>
      <x:c r="V297" s="2581" t="s">
        <x:v>866</x:v>
      </x:c>
      <x:c r="W297" s="861"/>
      <x:c r="X297" s="1155"/>
    </x:row>
    <x:row r="298" ht="39" customHeight="1">
      <x:c r="A298" s="2801">
        <x:v>45962</x:v>
      </x:c>
      <x:c r="B298" s="2797">
        <x:v>46022</x:v>
      </x:c>
      <x:c r="C298" s="2590" t="s">
        <x:v>854</x:v>
      </x:c>
      <x:c r="D298" s="2590" t="s">
        <x:v>829</x:v>
      </x:c>
      <x:c r="E298" s="2590" t="s">
        <x:v>855</x:v>
      </x:c>
      <x:c r="F298" s="2590" t="s">
        <x:v>856</x:v>
      </x:c>
      <x:c r="G298" s="2590" t="s">
        <x:v>89</x:v>
      </x:c>
      <x:c r="H298" s="2590" t="s">
        <x:v>782</x:v>
      </x:c>
      <x:c r="I298" s="2590" t="s">
        <x:v>863</x:v>
      </x:c>
      <x:c r="J298" s="2590" t="s">
        <x:v>864</x:v>
      </x:c>
      <x:c r="K298" s="2581" t="s">
        <x:v>732</x:v>
      </x:c>
      <x:c r="L298" s="2581" t="s">
        <x:v>726</x:v>
      </x:c>
      <x:c r="M298" s="2581" t="s">
        <x:v>732</x:v>
      </x:c>
      <x:c r="N298" s="2383">
        <x:v>40</x:v>
      </x:c>
      <x:c r="O298" s="2394"/>
      <x:c r="P298" s="2530">
        <x:v>1.23152709359606E-2</x:v>
      </x:c>
      <x:c r="Q298" s="2590" t="s">
        <x:v>865</x:v>
      </x:c>
      <x:c r="R298" s="2581" t="s">
        <x:v>732</x:v>
      </x:c>
      <x:c r="S298" s="2590" t="s">
        <x:v>137</x:v>
      </x:c>
      <x:c r="T298" s="2590" t="s">
        <x:v>195</x:v>
      </x:c>
      <x:c r="U298" s="2590" t="s">
        <x:v>140</x:v>
      </x:c>
      <x:c r="V298" s="2581" t="s">
        <x:v>866</x:v>
      </x:c>
      <x:c r="W298" s="861"/>
      <x:c r="X298" s="1155"/>
    </x:row>
    <x:row r="299" ht="39" customHeight="1">
      <x:c r="A299" s="2821"/>
      <x:c r="B299" s="2822"/>
      <x:c r="C299" s="2157"/>
      <x:c r="D299" s="2157"/>
      <x:c r="E299" s="2157"/>
      <x:c r="F299" s="2157"/>
      <x:c r="G299" s="2157"/>
      <x:c r="H299" s="2157"/>
      <x:c r="I299" s="2157"/>
      <x:c r="J299" s="2157"/>
      <x:c r="K299" s="2819"/>
      <x:c r="L299" s="2819"/>
      <x:c r="M299" s="2819"/>
      <x:c r="N299" s="2157"/>
      <x:c r="O299" s="2157"/>
      <x:c r="P299" s="2529"/>
      <x:c r="Q299" s="2157"/>
      <x:c r="R299" s="2819"/>
      <x:c r="S299" s="2157"/>
      <x:c r="T299" s="2157"/>
      <x:c r="U299" s="2157"/>
      <x:c r="V299" s="2819"/>
      <x:c r="W299" s="861"/>
      <x:c r="X299" s="1155"/>
    </x:row>
    <x:row r="300" ht="39" customHeight="1">
      <x:c r="A300" s="2823"/>
      <x:c r="B300" s="2824"/>
      <x:c r="C300" s="2811"/>
      <x:c r="D300" s="2811"/>
      <x:c r="E300" s="2811"/>
      <x:c r="F300" s="2811"/>
      <x:c r="G300" s="2811"/>
      <x:c r="H300" s="2811"/>
      <x:c r="I300" s="2811"/>
      <x:c r="J300" s="2811"/>
      <x:c r="K300" s="2820"/>
      <x:c r="L300" s="2820"/>
      <x:c r="M300" s="2820"/>
      <x:c r="N300" s="2811"/>
      <x:c r="O300" s="2811"/>
      <x:c r="P300" s="2825"/>
      <x:c r="Q300" s="2811"/>
      <x:c r="R300" s="2820"/>
      <x:c r="S300" s="2811"/>
      <x:c r="T300" s="2811"/>
      <x:c r="U300" s="2811"/>
      <x:c r="V300" s="2820"/>
      <x:c r="W300" s="1369"/>
      <x:c r="X300" s="1370"/>
    </x:row>
  </x:sheetData>
  <x:mergeCells>
    <x:mergeCell ref="A1:V1"/>
    <x:mergeCell ref="A2:V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29.25"/>
  <x:cols>
    <x:col min="1" max="1" width="26" style="244" hidden="0" customWidth="1"/>
    <x:col min="2" max="2" width="48" hidden="0" customWidth="1"/>
    <x:col min="3" max="3" width="56" hidden="0" customWidth="1"/>
    <x:col min="4" max="4" width="58" hidden="0" customWidth="1"/>
    <x:col min="5" max="5" width="42" hidden="0" customWidth="1"/>
    <x:col min="6" max="6" width="70" hidden="0" customWidth="1"/>
  </x:cols>
  <x:sheetData>
    <x:row r="1" s="242" customFormat="1" ht="29.25" customHeight="1">
      <x:c r="A1" s="1604" t="s">
        <x:v>868</x:v>
      </x:c>
      <x:c r="B1" s="1600" t="s">
        <x:v>868</x:v>
      </x:c>
      <x:c r="C1" s="1600" t="s">
        <x:v>868</x:v>
      </x:c>
      <x:c r="D1" s="1600" t="s">
        <x:v>868</x:v>
      </x:c>
      <x:c r="E1" s="1600" t="s">
        <x:v>868</x:v>
      </x:c>
      <x:c r="F1" s="1600" t="s">
        <x:v>868</x:v>
      </x:c>
      <x:c r="G1" s="664"/>
    </x:row>
    <x:row r="2" s="255" customFormat="1" ht="9.75" customHeight="1">
      <x:c r="A2" s="1601" t="s">
        <x:v>868</x:v>
      </x:c>
      <x:c r="B2" s="375" t="s">
        <x:v>868</x:v>
      </x:c>
      <x:c r="C2" s="375" t="s">
        <x:v>868</x:v>
      </x:c>
      <x:c r="D2" s="375" t="s">
        <x:v>868</x:v>
      </x:c>
      <x:c r="E2" s="375" t="s">
        <x:v>868</x:v>
      </x:c>
      <x:c r="F2" s="375" t="s">
        <x:v>868</x:v>
      </x:c>
      <x:c r="G2" s="477"/>
    </x:row>
    <x:row r="3" s="254" customFormat="1" ht="29.25" hidden="0" customHeight="1">
      <x:c r="A3" s="662" t="s">
        <x:v>869</x:v>
      </x:c>
      <x:c r="B3" s="375" t="s">
        <x:v>870</x:v>
      </x:c>
      <x:c r="C3" s="375" t="s">
        <x:v>871</x:v>
      </x:c>
      <x:c r="D3" s="375" t="s">
        <x:v>872</x:v>
      </x:c>
      <x:c r="E3" s="375" t="s">
        <x:v>873</x:v>
      </x:c>
      <x:c r="F3" s="375" t="s">
        <x:v>874</x:v>
      </x:c>
      <x:c r="G3" s="477"/>
    </x:row>
    <x:row r="4" s="254" customFormat="1" ht="29.25" hidden="0" customHeight="1">
      <x:c r="A4" s="665" t="s">
        <x:v>875</x:v>
      </x:c>
      <x:c r="B4" s="371" t="s">
        <x:v>876</x:v>
      </x:c>
      <x:c r="C4" s="371" t="s">
        <x:v>877</x:v>
      </x:c>
      <x:c r="D4" s="371" t="s">
        <x:v>878</x:v>
      </x:c>
      <x:c r="E4" s="371" t="s">
        <x:v>879</x:v>
      </x:c>
      <x:c r="F4" s="371" t="s">
        <x:v>880</x:v>
      </x:c>
      <x:c r="G4" s="477"/>
    </x:row>
    <x:row r="5" s="254" customFormat="1" ht="36" hidden="0" customHeight="1">
      <x:c r="A5" s="665" t="s">
        <x:v>881</x:v>
      </x:c>
      <x:c r="B5" s="371" t="s">
        <x:v>882</x:v>
      </x:c>
      <x:c r="C5" s="371" t="s">
        <x:v>883</x:v>
      </x:c>
      <x:c r="D5" s="371" t="s">
        <x:v>884</x:v>
      </x:c>
      <x:c r="E5" s="371" t="s">
        <x:v>885</x:v>
      </x:c>
      <x:c r="F5" s="371" t="s">
        <x:v>886</x:v>
      </x:c>
      <x:c r="G5" s="477"/>
    </x:row>
    <x:row r="6" s="254" customFormat="1" ht="29.25" hidden="0" customHeight="1">
      <x:c r="A6" s="665" t="s">
        <x:v>887</x:v>
      </x:c>
      <x:c r="B6" s="371" t="s">
        <x:v>888</x:v>
      </x:c>
      <x:c r="C6" s="371" t="s">
        <x:v>889</x:v>
      </x:c>
      <x:c r="D6" s="371" t="s">
        <x:v>890</x:v>
      </x:c>
      <x:c r="E6" s="371" t="s">
        <x:v>891</x:v>
      </x:c>
      <x:c r="F6" s="371" t="s">
        <x:v>892</x:v>
      </x:c>
      <x:c r="G6" s="477"/>
    </x:row>
    <x:row r="7" s="254" customFormat="1" ht="29.25" hidden="0" customHeight="1">
      <x:c r="A7" s="665" t="s">
        <x:v>893</x:v>
      </x:c>
      <x:c r="B7" s="371" t="s">
        <x:v>894</x:v>
      </x:c>
      <x:c r="C7" s="371" t="s">
        <x:v>895</x:v>
      </x:c>
      <x:c r="D7" s="371" t="s">
        <x:v>896</x:v>
      </x:c>
      <x:c r="E7" s="371" t="s">
        <x:v>897</x:v>
      </x:c>
      <x:c r="F7" s="371" t="s">
        <x:v>898</x:v>
      </x:c>
      <x:c r="G7" s="477"/>
    </x:row>
    <x:row r="8" s="254" customFormat="1" ht="29.25" hidden="0" customHeight="1">
      <x:c r="A8" s="665" t="s">
        <x:v>899</x:v>
      </x:c>
      <x:c r="B8" s="371" t="s">
        <x:v>900</x:v>
      </x:c>
      <x:c r="C8" s="371" t="s">
        <x:v>901</x:v>
      </x:c>
      <x:c r="D8" s="371" t="s">
        <x:v>902</x:v>
      </x:c>
      <x:c r="E8" s="371" t="s">
        <x:v>903</x:v>
      </x:c>
      <x:c r="F8" s="371" t="s">
        <x:v>904</x:v>
      </x:c>
      <x:c r="G8" s="477"/>
    </x:row>
    <x:row r="9" s="254" customFormat="1" ht="29.25" hidden="0" customHeight="1">
      <x:c r="A9" s="665" t="s">
        <x:v>905</x:v>
      </x:c>
      <x:c r="B9" s="371" t="s">
        <x:v>906</x:v>
      </x:c>
      <x:c r="C9" s="371" t="s">
        <x:v>907</x:v>
      </x:c>
      <x:c r="D9" s="371" t="s">
        <x:v>908</x:v>
      </x:c>
      <x:c r="E9" s="371" t="s">
        <x:v>909</x:v>
      </x:c>
      <x:c r="F9" s="371" t="s">
        <x:v>910</x:v>
      </x:c>
      <x:c r="G9" s="477"/>
    </x:row>
    <x:row r="10" s="254" customFormat="1" ht="29.25" hidden="0" customHeight="1">
      <x:c r="A10" s="665" t="s">
        <x:v>911</x:v>
      </x:c>
      <x:c r="B10" s="371" t="s">
        <x:v>912</x:v>
      </x:c>
      <x:c r="C10" s="371" t="s">
        <x:v>913</x:v>
      </x:c>
      <x:c r="D10" s="371" t="s">
        <x:v>914</x:v>
      </x:c>
      <x:c r="E10" s="371" t="s">
        <x:v>915</x:v>
      </x:c>
      <x:c r="F10" s="371" t="s">
        <x:v>880</x:v>
      </x:c>
      <x:c r="G10" s="477"/>
    </x:row>
    <x:row r="11" s="254" customFormat="1" ht="29.25" hidden="0" customHeight="1">
      <x:c r="A11" s="665" t="s">
        <x:v>916</x:v>
      </x:c>
      <x:c r="B11" s="371" t="s">
        <x:v>917</x:v>
      </x:c>
      <x:c r="C11" s="371" t="s">
        <x:v>918</x:v>
      </x:c>
      <x:c r="D11" s="371" t="s">
        <x:v>919</x:v>
      </x:c>
      <x:c r="E11" s="371" t="s">
        <x:v>920</x:v>
      </x:c>
      <x:c r="F11" s="371" t="s">
        <x:v>886</x:v>
      </x:c>
      <x:c r="G11" s="477"/>
    </x:row>
    <x:row r="12" s="254" customFormat="1" ht="29.25" hidden="0" customHeight="1">
      <x:c r="A12" s="665" t="s">
        <x:v>921</x:v>
      </x:c>
      <x:c r="B12" s="371" t="s">
        <x:v>922</x:v>
      </x:c>
      <x:c r="C12" s="371" t="s">
        <x:v>923</x:v>
      </x:c>
      <x:c r="D12" s="371" t="s">
        <x:v>924</x:v>
      </x:c>
      <x:c r="E12" s="371" t="s">
        <x:v>925</x:v>
      </x:c>
      <x:c r="F12" s="371" t="s">
        <x:v>926</x:v>
      </x:c>
      <x:c r="G12" s="477"/>
    </x:row>
    <x:row r="13" s="255" customFormat="1" ht="29.25" customHeight="1">
      <x:c r="A13" s="666"/>
      <x:c r="B13" s="380"/>
      <x:c r="C13" s="380"/>
      <x:c r="D13" s="380"/>
      <x:c r="E13" s="380"/>
      <x:c r="F13" s="380"/>
      <x:c r="G13" s="483"/>
    </x:row>
  </x:sheetData>
  <x:mergeCells>
    <x:mergeCell ref="A1:F2"/>
  </x:mergeCells>
  <x:pageMargins left="0.7" right="0.7" top="0.75" bottom="0.75" header="0.3" footer="0.3"/>
</x:worksheet>
</file>